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mcdermottinc.sharepoint.com/sites/ITPMO-MigrationofTFS-AzureDevOpstoGitHub-PRJ0074034/Shared Documents/General/Projects-Repos-Apps to be migrated/"/>
    </mc:Choice>
  </mc:AlternateContent>
  <xr:revisionPtr revIDLastSave="2550" documentId="13_ncr:1_{A512F917-E7A4-4231-BFD7-3A91C0184FD4}" xr6:coauthVersionLast="47" xr6:coauthVersionMax="47" xr10:uidLastSave="{715B9287-E387-4956-9C92-74416E46D339}"/>
  <bookViews>
    <workbookView xWindow="28680" yWindow="-120" windowWidth="29040" windowHeight="15720" activeTab="1" xr2:uid="{09BB0CD8-30C5-4346-B307-E16646BDBE50}"/>
  </bookViews>
  <sheets>
    <sheet name="GAMS-Migrate" sheetId="9" r:id="rId1"/>
    <sheet name="dalptfs01-report_review" sheetId="3" r:id="rId2"/>
    <sheet name="Email" sheetId="7" r:id="rId3"/>
    <sheet name="Sheet1" sheetId="5" r:id="rId4"/>
    <sheet name="Sheet2" sheetId="8" r:id="rId5"/>
    <sheet name="dalptfs01-report" sheetId="2" r:id="rId6"/>
  </sheets>
  <definedNames>
    <definedName name="ExternalData_1" localSheetId="5" hidden="1">'dalptfs01-report'!$A$1:$O$446</definedName>
    <definedName name="ExternalData_1" localSheetId="1" hidden="1">'dalptfs01-report_review'!$B$1:$W$448</definedName>
    <definedName name="ExternalData_1" localSheetId="0" hidden="1">'GAMS-Migrate'!$B$1:$W$447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47" i="9" l="1"/>
  <c r="J447" i="9"/>
  <c r="V446" i="9"/>
  <c r="J446" i="9"/>
  <c r="V445" i="9"/>
  <c r="J445" i="9"/>
  <c r="V444" i="9"/>
  <c r="J444" i="9"/>
  <c r="V443" i="9"/>
  <c r="V442" i="9"/>
  <c r="J442" i="9"/>
  <c r="V441" i="9"/>
  <c r="J441" i="9"/>
  <c r="V440" i="9"/>
  <c r="J440" i="9"/>
  <c r="V439" i="9"/>
  <c r="J439" i="9"/>
  <c r="V438" i="9"/>
  <c r="J438" i="9"/>
  <c r="V437" i="9"/>
  <c r="J437" i="9"/>
  <c r="V436" i="9"/>
  <c r="J436" i="9"/>
  <c r="V435" i="9"/>
  <c r="J435" i="9"/>
  <c r="V434" i="9"/>
  <c r="J434" i="9"/>
  <c r="V433" i="9"/>
  <c r="J433" i="9"/>
  <c r="V432" i="9"/>
  <c r="J432" i="9"/>
  <c r="V431" i="9"/>
  <c r="J431" i="9"/>
  <c r="V430" i="9"/>
  <c r="J430" i="9"/>
  <c r="V429" i="9"/>
  <c r="J429" i="9"/>
  <c r="V428" i="9"/>
  <c r="J428" i="9"/>
  <c r="V427" i="9"/>
  <c r="J427" i="9"/>
  <c r="V426" i="9"/>
  <c r="J426" i="9"/>
  <c r="V425" i="9"/>
  <c r="J425" i="9"/>
  <c r="V424" i="9"/>
  <c r="J424" i="9"/>
  <c r="V423" i="9"/>
  <c r="J423" i="9"/>
  <c r="V422" i="9"/>
  <c r="J422" i="9"/>
  <c r="V421" i="9"/>
  <c r="J421" i="9"/>
  <c r="V420" i="9"/>
  <c r="J420" i="9"/>
  <c r="V419" i="9"/>
  <c r="J419" i="9"/>
  <c r="V418" i="9"/>
  <c r="J418" i="9"/>
  <c r="V417" i="9"/>
  <c r="J417" i="9"/>
  <c r="V416" i="9"/>
  <c r="J416" i="9"/>
  <c r="V415" i="9"/>
  <c r="J415" i="9"/>
  <c r="V414" i="9"/>
  <c r="J414" i="9"/>
  <c r="V413" i="9"/>
  <c r="J413" i="9"/>
  <c r="V412" i="9"/>
  <c r="J412" i="9"/>
  <c r="V411" i="9"/>
  <c r="J411" i="9"/>
  <c r="V410" i="9"/>
  <c r="J410" i="9"/>
  <c r="V409" i="9"/>
  <c r="J409" i="9"/>
  <c r="V408" i="9"/>
  <c r="J408" i="9"/>
  <c r="V407" i="9"/>
  <c r="J407" i="9"/>
  <c r="V406" i="9"/>
  <c r="J406" i="9"/>
  <c r="V405" i="9"/>
  <c r="J405" i="9"/>
  <c r="V404" i="9"/>
  <c r="J404" i="9"/>
  <c r="V403" i="9"/>
  <c r="J403" i="9"/>
  <c r="V402" i="9"/>
  <c r="J402" i="9"/>
  <c r="V401" i="9"/>
  <c r="J401" i="9"/>
  <c r="V400" i="9"/>
  <c r="J400" i="9"/>
  <c r="V399" i="9"/>
  <c r="J399" i="9"/>
  <c r="V398" i="9"/>
  <c r="J398" i="9"/>
  <c r="V397" i="9"/>
  <c r="J397" i="9"/>
  <c r="V396" i="9"/>
  <c r="J396" i="9"/>
  <c r="V395" i="9"/>
  <c r="J395" i="9"/>
  <c r="V394" i="9"/>
  <c r="J394" i="9"/>
  <c r="V393" i="9"/>
  <c r="J393" i="9"/>
  <c r="V392" i="9"/>
  <c r="J392" i="9"/>
  <c r="V391" i="9"/>
  <c r="J391" i="9"/>
  <c r="V390" i="9"/>
  <c r="J390" i="9"/>
  <c r="V389" i="9"/>
  <c r="J389" i="9"/>
  <c r="V388" i="9"/>
  <c r="J388" i="9"/>
  <c r="V387" i="9"/>
  <c r="J387" i="9"/>
  <c r="V386" i="9"/>
  <c r="J386" i="9"/>
  <c r="V385" i="9"/>
  <c r="J385" i="9"/>
  <c r="V384" i="9"/>
  <c r="J384" i="9"/>
  <c r="V383" i="9"/>
  <c r="J383" i="9"/>
  <c r="V382" i="9"/>
  <c r="J382" i="9"/>
  <c r="V381" i="9"/>
  <c r="J381" i="9"/>
  <c r="V380" i="9"/>
  <c r="J380" i="9"/>
  <c r="V379" i="9"/>
  <c r="J379" i="9"/>
  <c r="V378" i="9"/>
  <c r="J378" i="9"/>
  <c r="V377" i="9"/>
  <c r="J377" i="9"/>
  <c r="V376" i="9"/>
  <c r="J376" i="9"/>
  <c r="V375" i="9"/>
  <c r="J375" i="9"/>
  <c r="V374" i="9"/>
  <c r="J374" i="9"/>
  <c r="V373" i="9"/>
  <c r="J373" i="9"/>
  <c r="V372" i="9"/>
  <c r="J372" i="9"/>
  <c r="V371" i="9"/>
  <c r="J371" i="9"/>
  <c r="V370" i="9"/>
  <c r="J370" i="9"/>
  <c r="V369" i="9"/>
  <c r="J369" i="9"/>
  <c r="V368" i="9"/>
  <c r="J368" i="9"/>
  <c r="V367" i="9"/>
  <c r="J367" i="9"/>
  <c r="V366" i="9"/>
  <c r="J366" i="9"/>
  <c r="V365" i="9"/>
  <c r="J365" i="9"/>
  <c r="V364" i="9"/>
  <c r="J364" i="9"/>
  <c r="V363" i="9"/>
  <c r="J363" i="9"/>
  <c r="V362" i="9"/>
  <c r="J362" i="9"/>
  <c r="V361" i="9"/>
  <c r="J361" i="9"/>
  <c r="V360" i="9"/>
  <c r="J360" i="9"/>
  <c r="V359" i="9"/>
  <c r="J359" i="9"/>
  <c r="V358" i="9"/>
  <c r="J358" i="9"/>
  <c r="V357" i="9"/>
  <c r="J357" i="9"/>
  <c r="V356" i="9"/>
  <c r="J356" i="9"/>
  <c r="V355" i="9"/>
  <c r="J355" i="9"/>
  <c r="V354" i="9"/>
  <c r="J354" i="9"/>
  <c r="V353" i="9"/>
  <c r="J353" i="9"/>
  <c r="V352" i="9"/>
  <c r="J352" i="9"/>
  <c r="V351" i="9"/>
  <c r="J351" i="9"/>
  <c r="V350" i="9"/>
  <c r="J350" i="9"/>
  <c r="V349" i="9"/>
  <c r="J349" i="9"/>
  <c r="V348" i="9"/>
  <c r="J348" i="9"/>
  <c r="V347" i="9"/>
  <c r="J347" i="9"/>
  <c r="V346" i="9"/>
  <c r="J346" i="9"/>
  <c r="V345" i="9"/>
  <c r="J345" i="9"/>
  <c r="V344" i="9"/>
  <c r="J344" i="9"/>
  <c r="V343" i="9"/>
  <c r="J343" i="9"/>
  <c r="V342" i="9"/>
  <c r="J342" i="9"/>
  <c r="V341" i="9"/>
  <c r="J341" i="9"/>
  <c r="V340" i="9"/>
  <c r="J340" i="9"/>
  <c r="V339" i="9"/>
  <c r="J339" i="9"/>
  <c r="V338" i="9"/>
  <c r="J338" i="9"/>
  <c r="V337" i="9"/>
  <c r="J337" i="9"/>
  <c r="V336" i="9"/>
  <c r="J336" i="9"/>
  <c r="V335" i="9"/>
  <c r="J335" i="9"/>
  <c r="V334" i="9"/>
  <c r="J334" i="9"/>
  <c r="V333" i="9"/>
  <c r="J333" i="9"/>
  <c r="V332" i="9"/>
  <c r="J332" i="9"/>
  <c r="V331" i="9"/>
  <c r="J331" i="9"/>
  <c r="V330" i="9"/>
  <c r="J330" i="9"/>
  <c r="V329" i="9"/>
  <c r="J329" i="9"/>
  <c r="V328" i="9"/>
  <c r="J328" i="9"/>
  <c r="V327" i="9"/>
  <c r="J327" i="9"/>
  <c r="V326" i="9"/>
  <c r="J326" i="9"/>
  <c r="V325" i="9"/>
  <c r="J325" i="9"/>
  <c r="V324" i="9"/>
  <c r="J324" i="9"/>
  <c r="V323" i="9"/>
  <c r="J323" i="9"/>
  <c r="V322" i="9"/>
  <c r="J322" i="9"/>
  <c r="V321" i="9"/>
  <c r="J321" i="9"/>
  <c r="V320" i="9"/>
  <c r="J320" i="9"/>
  <c r="V319" i="9"/>
  <c r="J319" i="9"/>
  <c r="V318" i="9"/>
  <c r="J318" i="9"/>
  <c r="V317" i="9"/>
  <c r="J317" i="9"/>
  <c r="V316" i="9"/>
  <c r="J316" i="9"/>
  <c r="V315" i="9"/>
  <c r="J315" i="9"/>
  <c r="V314" i="9"/>
  <c r="J314" i="9"/>
  <c r="V313" i="9"/>
  <c r="J313" i="9"/>
  <c r="V312" i="9"/>
  <c r="J312" i="9"/>
  <c r="V311" i="9"/>
  <c r="J311" i="9"/>
  <c r="V310" i="9"/>
  <c r="J310" i="9"/>
  <c r="V309" i="9"/>
  <c r="J309" i="9"/>
  <c r="V308" i="9"/>
  <c r="J308" i="9"/>
  <c r="V307" i="9"/>
  <c r="J307" i="9"/>
  <c r="V306" i="9"/>
  <c r="J306" i="9"/>
  <c r="V305" i="9"/>
  <c r="J305" i="9"/>
  <c r="V304" i="9"/>
  <c r="J304" i="9"/>
  <c r="V303" i="9"/>
  <c r="J303" i="9"/>
  <c r="V302" i="9"/>
  <c r="J302" i="9"/>
  <c r="V301" i="9"/>
  <c r="J301" i="9"/>
  <c r="V300" i="9"/>
  <c r="J300" i="9"/>
  <c r="V299" i="9"/>
  <c r="J299" i="9"/>
  <c r="V298" i="9"/>
  <c r="J298" i="9"/>
  <c r="V297" i="9"/>
  <c r="J297" i="9"/>
  <c r="V296" i="9"/>
  <c r="J296" i="9"/>
  <c r="V295" i="9"/>
  <c r="J295" i="9"/>
  <c r="V294" i="9"/>
  <c r="J294" i="9"/>
  <c r="V293" i="9"/>
  <c r="J293" i="9"/>
  <c r="V292" i="9"/>
  <c r="J292" i="9"/>
  <c r="V291" i="9"/>
  <c r="J291" i="9"/>
  <c r="V290" i="9"/>
  <c r="J290" i="9"/>
  <c r="V289" i="9"/>
  <c r="J289" i="9"/>
  <c r="V288" i="9"/>
  <c r="J288" i="9"/>
  <c r="V287" i="9"/>
  <c r="J287" i="9"/>
  <c r="V286" i="9"/>
  <c r="J286" i="9"/>
  <c r="V285" i="9"/>
  <c r="J285" i="9"/>
  <c r="V284" i="9"/>
  <c r="J284" i="9"/>
  <c r="V283" i="9"/>
  <c r="J283" i="9"/>
  <c r="V282" i="9"/>
  <c r="J282" i="9"/>
  <c r="V281" i="9"/>
  <c r="J281" i="9"/>
  <c r="V280" i="9"/>
  <c r="J280" i="9"/>
  <c r="V279" i="9"/>
  <c r="J279" i="9"/>
  <c r="V278" i="9"/>
  <c r="J278" i="9"/>
  <c r="V277" i="9"/>
  <c r="J277" i="9"/>
  <c r="V276" i="9"/>
  <c r="J276" i="9"/>
  <c r="V275" i="9"/>
  <c r="J275" i="9"/>
  <c r="V274" i="9"/>
  <c r="J274" i="9"/>
  <c r="V273" i="9"/>
  <c r="J273" i="9"/>
  <c r="V272" i="9"/>
  <c r="J272" i="9"/>
  <c r="V271" i="9"/>
  <c r="J271" i="9"/>
  <c r="V270" i="9"/>
  <c r="J270" i="9"/>
  <c r="V269" i="9"/>
  <c r="J269" i="9"/>
  <c r="V268" i="9"/>
  <c r="J268" i="9"/>
  <c r="V267" i="9"/>
  <c r="J267" i="9"/>
  <c r="V266" i="9"/>
  <c r="J266" i="9"/>
  <c r="V265" i="9"/>
  <c r="J265" i="9"/>
  <c r="V264" i="9"/>
  <c r="J264" i="9"/>
  <c r="V263" i="9"/>
  <c r="J263" i="9"/>
  <c r="V262" i="9"/>
  <c r="J262" i="9"/>
  <c r="V261" i="9"/>
  <c r="J261" i="9"/>
  <c r="V260" i="9"/>
  <c r="J260" i="9"/>
  <c r="V259" i="9"/>
  <c r="J259" i="9"/>
  <c r="V258" i="9"/>
  <c r="J258" i="9"/>
  <c r="V257" i="9"/>
  <c r="J257" i="9"/>
  <c r="V256" i="9"/>
  <c r="J256" i="9"/>
  <c r="V255" i="9"/>
  <c r="J255" i="9"/>
  <c r="V254" i="9"/>
  <c r="J254" i="9"/>
  <c r="V253" i="9"/>
  <c r="J253" i="9"/>
  <c r="V252" i="9"/>
  <c r="J252" i="9"/>
  <c r="V251" i="9"/>
  <c r="J251" i="9"/>
  <c r="V250" i="9"/>
  <c r="J250" i="9"/>
  <c r="V249" i="9"/>
  <c r="J249" i="9"/>
  <c r="V248" i="9"/>
  <c r="J248" i="9"/>
  <c r="V247" i="9"/>
  <c r="J247" i="9"/>
  <c r="V246" i="9"/>
  <c r="J246" i="9"/>
  <c r="V245" i="9"/>
  <c r="J245" i="9"/>
  <c r="V244" i="9"/>
  <c r="J244" i="9"/>
  <c r="V243" i="9"/>
  <c r="J243" i="9"/>
  <c r="V242" i="9"/>
  <c r="J242" i="9"/>
  <c r="V241" i="9"/>
  <c r="J241" i="9"/>
  <c r="V240" i="9"/>
  <c r="J240" i="9"/>
  <c r="V239" i="9"/>
  <c r="J239" i="9"/>
  <c r="V238" i="9"/>
  <c r="J238" i="9"/>
  <c r="V237" i="9"/>
  <c r="J237" i="9"/>
  <c r="V236" i="9"/>
  <c r="J236" i="9"/>
  <c r="V235" i="9"/>
  <c r="J235" i="9"/>
  <c r="V234" i="9"/>
  <c r="J234" i="9"/>
  <c r="V233" i="9"/>
  <c r="J233" i="9"/>
  <c r="V232" i="9"/>
  <c r="J232" i="9"/>
  <c r="V231" i="9"/>
  <c r="J231" i="9"/>
  <c r="V230" i="9"/>
  <c r="J230" i="9"/>
  <c r="V229" i="9"/>
  <c r="J229" i="9"/>
  <c r="V228" i="9"/>
  <c r="J228" i="9"/>
  <c r="V227" i="9"/>
  <c r="J227" i="9"/>
  <c r="V226" i="9"/>
  <c r="J226" i="9"/>
  <c r="V225" i="9"/>
  <c r="J225" i="9"/>
  <c r="V224" i="9"/>
  <c r="J224" i="9"/>
  <c r="V223" i="9"/>
  <c r="J223" i="9"/>
  <c r="V222" i="9"/>
  <c r="J222" i="9"/>
  <c r="V221" i="9"/>
  <c r="J221" i="9"/>
  <c r="V220" i="9"/>
  <c r="J220" i="9"/>
  <c r="V219" i="9"/>
  <c r="J219" i="9"/>
  <c r="V218" i="9"/>
  <c r="J218" i="9"/>
  <c r="V217" i="9"/>
  <c r="J217" i="9"/>
  <c r="V216" i="9"/>
  <c r="J216" i="9"/>
  <c r="V215" i="9"/>
  <c r="J215" i="9"/>
  <c r="V214" i="9"/>
  <c r="J214" i="9"/>
  <c r="V213" i="9"/>
  <c r="J213" i="9"/>
  <c r="V212" i="9"/>
  <c r="J212" i="9"/>
  <c r="V211" i="9"/>
  <c r="J211" i="9"/>
  <c r="V210" i="9"/>
  <c r="J210" i="9"/>
  <c r="V209" i="9"/>
  <c r="J209" i="9"/>
  <c r="V208" i="9"/>
  <c r="J208" i="9"/>
  <c r="V207" i="9"/>
  <c r="J207" i="9"/>
  <c r="V206" i="9"/>
  <c r="J206" i="9"/>
  <c r="V205" i="9"/>
  <c r="J205" i="9"/>
  <c r="V204" i="9"/>
  <c r="J204" i="9"/>
  <c r="V203" i="9"/>
  <c r="J203" i="9"/>
  <c r="V202" i="9"/>
  <c r="J202" i="9"/>
  <c r="V201" i="9"/>
  <c r="J201" i="9"/>
  <c r="V200" i="9"/>
  <c r="J200" i="9"/>
  <c r="V199" i="9"/>
  <c r="J199" i="9"/>
  <c r="V198" i="9"/>
  <c r="J198" i="9"/>
  <c r="V197" i="9"/>
  <c r="J197" i="9"/>
  <c r="V196" i="9"/>
  <c r="J196" i="9"/>
  <c r="V195" i="9"/>
  <c r="V194" i="9"/>
  <c r="J194" i="9"/>
  <c r="V193" i="9"/>
  <c r="J193" i="9"/>
  <c r="V192" i="9"/>
  <c r="J192" i="9"/>
  <c r="V191" i="9"/>
  <c r="J191" i="9"/>
  <c r="V190" i="9"/>
  <c r="J190" i="9"/>
  <c r="V189" i="9"/>
  <c r="J189" i="9"/>
  <c r="V188" i="9"/>
  <c r="J188" i="9"/>
  <c r="V187" i="9"/>
  <c r="J187" i="9"/>
  <c r="V186" i="9"/>
  <c r="J186" i="9"/>
  <c r="V185" i="9"/>
  <c r="J185" i="9"/>
  <c r="V184" i="9"/>
  <c r="J184" i="9"/>
  <c r="V183" i="9"/>
  <c r="J183" i="9"/>
  <c r="V182" i="9"/>
  <c r="J182" i="9"/>
  <c r="V181" i="9"/>
  <c r="J181" i="9"/>
  <c r="V180" i="9"/>
  <c r="J180" i="9"/>
  <c r="V179" i="9"/>
  <c r="J179" i="9"/>
  <c r="V178" i="9"/>
  <c r="J178" i="9"/>
  <c r="V177" i="9"/>
  <c r="J177" i="9"/>
  <c r="V176" i="9"/>
  <c r="J176" i="9"/>
  <c r="V175" i="9"/>
  <c r="J175" i="9"/>
  <c r="V174" i="9"/>
  <c r="J174" i="9"/>
  <c r="V173" i="9"/>
  <c r="J173" i="9"/>
  <c r="V172" i="9"/>
  <c r="J172" i="9"/>
  <c r="V171" i="9"/>
  <c r="J171" i="9"/>
  <c r="V170" i="9"/>
  <c r="J170" i="9"/>
  <c r="V169" i="9"/>
  <c r="J169" i="9"/>
  <c r="V168" i="9"/>
  <c r="J168" i="9"/>
  <c r="V167" i="9"/>
  <c r="J167" i="9"/>
  <c r="V166" i="9"/>
  <c r="J166" i="9"/>
  <c r="V165" i="9"/>
  <c r="J165" i="9"/>
  <c r="V164" i="9"/>
  <c r="J164" i="9"/>
  <c r="V163" i="9"/>
  <c r="J163" i="9"/>
  <c r="V162" i="9"/>
  <c r="J162" i="9"/>
  <c r="V161" i="9"/>
  <c r="J161" i="9"/>
  <c r="V160" i="9"/>
  <c r="J160" i="9"/>
  <c r="V159" i="9"/>
  <c r="J159" i="9"/>
  <c r="V158" i="9"/>
  <c r="J158" i="9"/>
  <c r="V157" i="9"/>
  <c r="J157" i="9"/>
  <c r="V156" i="9"/>
  <c r="J156" i="9"/>
  <c r="V155" i="9"/>
  <c r="J155" i="9"/>
  <c r="V154" i="9"/>
  <c r="J154" i="9"/>
  <c r="V153" i="9"/>
  <c r="J153" i="9"/>
  <c r="V152" i="9"/>
  <c r="J152" i="9"/>
  <c r="V151" i="9"/>
  <c r="J151" i="9"/>
  <c r="V150" i="9"/>
  <c r="J150" i="9"/>
  <c r="V149" i="9"/>
  <c r="J149" i="9"/>
  <c r="V148" i="9"/>
  <c r="J148" i="9"/>
  <c r="V147" i="9"/>
  <c r="J147" i="9"/>
  <c r="V146" i="9"/>
  <c r="J146" i="9"/>
  <c r="V145" i="9"/>
  <c r="J145" i="9"/>
  <c r="V144" i="9"/>
  <c r="J144" i="9"/>
  <c r="V143" i="9"/>
  <c r="J143" i="9"/>
  <c r="V142" i="9"/>
  <c r="J142" i="9"/>
  <c r="V141" i="9"/>
  <c r="J141" i="9"/>
  <c r="V140" i="9"/>
  <c r="J140" i="9"/>
  <c r="V139" i="9"/>
  <c r="J139" i="9"/>
  <c r="V138" i="9"/>
  <c r="J138" i="9"/>
  <c r="V137" i="9"/>
  <c r="J137" i="9"/>
  <c r="V136" i="9"/>
  <c r="J136" i="9"/>
  <c r="V135" i="9"/>
  <c r="J135" i="9"/>
  <c r="J134" i="9"/>
  <c r="V133" i="9"/>
  <c r="J133" i="9"/>
  <c r="V132" i="9"/>
  <c r="J132" i="9"/>
  <c r="V131" i="9"/>
  <c r="J131" i="9"/>
  <c r="V130" i="9"/>
  <c r="J130" i="9"/>
  <c r="V129" i="9"/>
  <c r="J129" i="9"/>
  <c r="V128" i="9"/>
  <c r="J128" i="9"/>
  <c r="V127" i="9"/>
  <c r="J127" i="9"/>
  <c r="V126" i="9"/>
  <c r="J126" i="9"/>
  <c r="V125" i="9"/>
  <c r="J125" i="9"/>
  <c r="V124" i="9"/>
  <c r="J124" i="9"/>
  <c r="V123" i="9"/>
  <c r="J123" i="9"/>
  <c r="V122" i="9"/>
  <c r="J122" i="9"/>
  <c r="V121" i="9"/>
  <c r="J121" i="9"/>
  <c r="V120" i="9"/>
  <c r="J120" i="9"/>
  <c r="V119" i="9"/>
  <c r="J119" i="9"/>
  <c r="V118" i="9"/>
  <c r="J118" i="9"/>
  <c r="V117" i="9"/>
  <c r="J117" i="9"/>
  <c r="V116" i="9"/>
  <c r="J116" i="9"/>
  <c r="V115" i="9"/>
  <c r="J115" i="9"/>
  <c r="V114" i="9"/>
  <c r="J114" i="9"/>
  <c r="V113" i="9"/>
  <c r="J113" i="9"/>
  <c r="V112" i="9"/>
  <c r="J112" i="9"/>
  <c r="V111" i="9"/>
  <c r="J111" i="9"/>
  <c r="V110" i="9"/>
  <c r="J110" i="9"/>
  <c r="V109" i="9"/>
  <c r="J109" i="9"/>
  <c r="V108" i="9"/>
  <c r="J108" i="9"/>
  <c r="V107" i="9"/>
  <c r="J107" i="9"/>
  <c r="V106" i="9"/>
  <c r="J106" i="9"/>
  <c r="V105" i="9"/>
  <c r="J105" i="9"/>
  <c r="V104" i="9"/>
  <c r="J104" i="9"/>
  <c r="V103" i="9"/>
  <c r="J103" i="9"/>
  <c r="V102" i="9"/>
  <c r="J102" i="9"/>
  <c r="V101" i="9"/>
  <c r="J101" i="9"/>
  <c r="V100" i="9"/>
  <c r="J100" i="9"/>
  <c r="V99" i="9"/>
  <c r="J99" i="9"/>
  <c r="V98" i="9"/>
  <c r="J98" i="9"/>
  <c r="V97" i="9"/>
  <c r="J97" i="9"/>
  <c r="V96" i="9"/>
  <c r="J96" i="9"/>
  <c r="V95" i="9"/>
  <c r="J95" i="9"/>
  <c r="V94" i="9"/>
  <c r="J94" i="9"/>
  <c r="V93" i="9"/>
  <c r="J93" i="9"/>
  <c r="V92" i="9"/>
  <c r="J92" i="9"/>
  <c r="V91" i="9"/>
  <c r="J91" i="9"/>
  <c r="V90" i="9"/>
  <c r="J90" i="9"/>
  <c r="V89" i="9"/>
  <c r="J89" i="9"/>
  <c r="V88" i="9"/>
  <c r="J88" i="9"/>
  <c r="V87" i="9"/>
  <c r="J87" i="9"/>
  <c r="V86" i="9"/>
  <c r="J86" i="9"/>
  <c r="V85" i="9"/>
  <c r="J85" i="9"/>
  <c r="V84" i="9"/>
  <c r="J84" i="9"/>
  <c r="V83" i="9"/>
  <c r="J83" i="9"/>
  <c r="V82" i="9"/>
  <c r="J82" i="9"/>
  <c r="V81" i="9"/>
  <c r="J81" i="9"/>
  <c r="V80" i="9"/>
  <c r="J80" i="9"/>
  <c r="V79" i="9"/>
  <c r="J79" i="9"/>
  <c r="V78" i="9"/>
  <c r="J78" i="9"/>
  <c r="V77" i="9"/>
  <c r="J77" i="9"/>
  <c r="V76" i="9"/>
  <c r="J76" i="9"/>
  <c r="V75" i="9"/>
  <c r="J75" i="9"/>
  <c r="V74" i="9"/>
  <c r="J74" i="9"/>
  <c r="V73" i="9"/>
  <c r="J73" i="9"/>
  <c r="V72" i="9"/>
  <c r="J72" i="9"/>
  <c r="V71" i="9"/>
  <c r="J71" i="9"/>
  <c r="V70" i="9"/>
  <c r="J70" i="9"/>
  <c r="V69" i="9"/>
  <c r="J69" i="9"/>
  <c r="V68" i="9"/>
  <c r="J68" i="9"/>
  <c r="V67" i="9"/>
  <c r="J67" i="9"/>
  <c r="V66" i="9"/>
  <c r="J66" i="9"/>
  <c r="V65" i="9"/>
  <c r="J65" i="9"/>
  <c r="V64" i="9"/>
  <c r="J64" i="9"/>
  <c r="V63" i="9"/>
  <c r="J63" i="9"/>
  <c r="V62" i="9"/>
  <c r="J62" i="9"/>
  <c r="V61" i="9"/>
  <c r="J61" i="9"/>
  <c r="V60" i="9"/>
  <c r="J60" i="9"/>
  <c r="V59" i="9"/>
  <c r="J59" i="9"/>
  <c r="V58" i="9"/>
  <c r="J58" i="9"/>
  <c r="V57" i="9"/>
  <c r="J57" i="9"/>
  <c r="V56" i="9"/>
  <c r="J56" i="9"/>
  <c r="V55" i="9"/>
  <c r="J55" i="9"/>
  <c r="V54" i="9"/>
  <c r="J54" i="9"/>
  <c r="V53" i="9"/>
  <c r="J53" i="9"/>
  <c r="V52" i="9"/>
  <c r="J52" i="9"/>
  <c r="V51" i="9"/>
  <c r="J51" i="9"/>
  <c r="V50" i="9"/>
  <c r="J50" i="9"/>
  <c r="V49" i="9"/>
  <c r="J49" i="9"/>
  <c r="V48" i="9"/>
  <c r="J48" i="9"/>
  <c r="V47" i="9"/>
  <c r="J47" i="9"/>
  <c r="V46" i="9"/>
  <c r="J46" i="9"/>
  <c r="V45" i="9"/>
  <c r="J45" i="9"/>
  <c r="V44" i="9"/>
  <c r="J44" i="9"/>
  <c r="V43" i="9"/>
  <c r="J43" i="9"/>
  <c r="V42" i="9"/>
  <c r="J42" i="9"/>
  <c r="V41" i="9"/>
  <c r="J41" i="9"/>
  <c r="V40" i="9"/>
  <c r="J40" i="9"/>
  <c r="V39" i="9"/>
  <c r="J39" i="9"/>
  <c r="V38" i="9"/>
  <c r="J38" i="9"/>
  <c r="V37" i="9"/>
  <c r="J37" i="9"/>
  <c r="V36" i="9"/>
  <c r="J36" i="9"/>
  <c r="V35" i="9"/>
  <c r="J35" i="9"/>
  <c r="V34" i="9"/>
  <c r="J34" i="9"/>
  <c r="V33" i="9"/>
  <c r="J33" i="9"/>
  <c r="V32" i="9"/>
  <c r="J32" i="9"/>
  <c r="V31" i="9"/>
  <c r="J31" i="9"/>
  <c r="V30" i="9"/>
  <c r="J30" i="9"/>
  <c r="V29" i="9"/>
  <c r="J29" i="9"/>
  <c r="V28" i="9"/>
  <c r="J28" i="9"/>
  <c r="V27" i="9"/>
  <c r="J27" i="9"/>
  <c r="V26" i="9"/>
  <c r="J26" i="9"/>
  <c r="V25" i="9"/>
  <c r="J25" i="9"/>
  <c r="V24" i="9"/>
  <c r="J24" i="9"/>
  <c r="V23" i="9"/>
  <c r="J23" i="9"/>
  <c r="V22" i="9"/>
  <c r="J22" i="9"/>
  <c r="V21" i="9"/>
  <c r="J21" i="9"/>
  <c r="V20" i="9"/>
  <c r="J20" i="9"/>
  <c r="V19" i="9"/>
  <c r="J19" i="9"/>
  <c r="V18" i="9"/>
  <c r="J18" i="9"/>
  <c r="V17" i="9"/>
  <c r="J17" i="9"/>
  <c r="V16" i="9"/>
  <c r="J16" i="9"/>
  <c r="V15" i="9"/>
  <c r="J15" i="9"/>
  <c r="V14" i="9"/>
  <c r="J14" i="9"/>
  <c r="V13" i="9"/>
  <c r="J13" i="9"/>
  <c r="V12" i="9"/>
  <c r="J12" i="9"/>
  <c r="V11" i="9"/>
  <c r="J11" i="9"/>
  <c r="V10" i="9"/>
  <c r="J10" i="9"/>
  <c r="V9" i="9"/>
  <c r="J9" i="9"/>
  <c r="V8" i="9"/>
  <c r="J8" i="9"/>
  <c r="V7" i="9"/>
  <c r="J7" i="9"/>
  <c r="V6" i="9"/>
  <c r="J6" i="9"/>
  <c r="V5" i="9"/>
  <c r="J5" i="9"/>
  <c r="V4" i="9"/>
  <c r="J4" i="9"/>
  <c r="V3" i="9"/>
  <c r="J3" i="9"/>
  <c r="V2" i="9"/>
  <c r="J2" i="9"/>
  <c r="J448" i="3"/>
  <c r="V448" i="3"/>
  <c r="V444" i="3"/>
  <c r="J152" i="3"/>
  <c r="J2" i="3"/>
  <c r="J211" i="3"/>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J222" i="3"/>
  <c r="J229" i="3"/>
  <c r="J230" i="3"/>
  <c r="J198" i="3"/>
  <c r="J231" i="3"/>
  <c r="J232" i="3"/>
  <c r="J233" i="3"/>
  <c r="J193" i="3"/>
  <c r="J234" i="3"/>
  <c r="J235" i="3"/>
  <c r="J223" i="3"/>
  <c r="J224" i="3"/>
  <c r="J236" i="3"/>
  <c r="J217" i="3"/>
  <c r="J220" i="3"/>
  <c r="J237" i="3"/>
  <c r="J238" i="3"/>
  <c r="J226" i="3"/>
  <c r="J228" i="3"/>
  <c r="J221" i="3"/>
  <c r="J110" i="3"/>
  <c r="J109" i="3"/>
  <c r="J111" i="3"/>
  <c r="J113" i="3"/>
  <c r="J112" i="3"/>
  <c r="J114" i="3"/>
  <c r="J115" i="3"/>
  <c r="J116" i="3"/>
  <c r="J117" i="3"/>
  <c r="J118" i="3"/>
  <c r="J119" i="3"/>
  <c r="J120" i="3"/>
  <c r="J121" i="3"/>
  <c r="J122" i="3"/>
  <c r="J123" i="3"/>
  <c r="J124" i="3"/>
  <c r="J125" i="3"/>
  <c r="J126" i="3"/>
  <c r="J127" i="3"/>
  <c r="J41" i="3"/>
  <c r="J42" i="3"/>
  <c r="J43" i="3"/>
  <c r="J44" i="3"/>
  <c r="J282" i="3"/>
  <c r="J135" i="3"/>
  <c r="J242" i="3"/>
  <c r="J447" i="3"/>
  <c r="J283" i="3"/>
  <c r="J364" i="3"/>
  <c r="J363" i="3"/>
  <c r="J366" i="3"/>
  <c r="J365" i="3"/>
  <c r="J431" i="3"/>
  <c r="J437" i="3"/>
  <c r="J368" i="3"/>
  <c r="J367" i="3"/>
  <c r="J369" i="3"/>
  <c r="J371" i="3"/>
  <c r="J440" i="3"/>
  <c r="J373" i="3"/>
  <c r="J374" i="3"/>
  <c r="J432" i="3"/>
  <c r="J375" i="3"/>
  <c r="J376" i="3"/>
  <c r="J377" i="3"/>
  <c r="J370" i="3"/>
  <c r="J398" i="3"/>
  <c r="J378" i="3"/>
  <c r="J379" i="3"/>
  <c r="J380" i="3"/>
  <c r="J387" i="3"/>
  <c r="J382" i="3"/>
  <c r="J442" i="3"/>
  <c r="J381" i="3"/>
  <c r="J383" i="3"/>
  <c r="J384" i="3"/>
  <c r="J433" i="3"/>
  <c r="J386" i="3"/>
  <c r="J388" i="3"/>
  <c r="J385" i="3"/>
  <c r="J390" i="3"/>
  <c r="J391" i="3"/>
  <c r="J281" i="3"/>
  <c r="J392" i="3"/>
  <c r="J393" i="3"/>
  <c r="J389" i="3"/>
  <c r="J394" i="3"/>
  <c r="J372" i="3"/>
  <c r="J396" i="3"/>
  <c r="J395" i="3"/>
  <c r="J399" i="3"/>
  <c r="J401" i="3"/>
  <c r="J397" i="3"/>
  <c r="J403" i="3"/>
  <c r="J404" i="3"/>
  <c r="J405" i="3"/>
  <c r="J400" i="3"/>
  <c r="J402" i="3"/>
  <c r="J407" i="3"/>
  <c r="J406" i="3"/>
  <c r="J434" i="3"/>
  <c r="J409" i="3"/>
  <c r="J408" i="3"/>
  <c r="J411" i="3"/>
  <c r="J410" i="3"/>
  <c r="J435" i="3"/>
  <c r="J413" i="3"/>
  <c r="J441" i="3"/>
  <c r="J412" i="3"/>
  <c r="J415" i="3"/>
  <c r="J362" i="3"/>
  <c r="J414" i="3"/>
  <c r="J416" i="3"/>
  <c r="J418" i="3"/>
  <c r="J417" i="3"/>
  <c r="J420" i="3"/>
  <c r="J419" i="3"/>
  <c r="J241" i="3"/>
  <c r="J422" i="3"/>
  <c r="J436" i="3"/>
  <c r="J421" i="3"/>
  <c r="J424" i="3"/>
  <c r="J425" i="3"/>
  <c r="J426" i="3"/>
  <c r="J438" i="3"/>
  <c r="J280" i="3"/>
  <c r="J427" i="3"/>
  <c r="J428" i="3"/>
  <c r="J272" i="3"/>
  <c r="J429" i="3"/>
  <c r="J423" i="3"/>
  <c r="J430" i="3"/>
  <c r="J84" i="3"/>
  <c r="J73" i="3"/>
  <c r="J75" i="3"/>
  <c r="J72" i="3"/>
  <c r="J85" i="3"/>
  <c r="J86" i="3"/>
  <c r="J87" i="3"/>
  <c r="J88" i="3"/>
  <c r="J89" i="3"/>
  <c r="J77" i="3"/>
  <c r="J90" i="3"/>
  <c r="J74" i="3"/>
  <c r="J91" i="3"/>
  <c r="J106" i="3"/>
  <c r="J92" i="3"/>
  <c r="J107" i="3"/>
  <c r="J79" i="3"/>
  <c r="J93" i="3"/>
  <c r="J80" i="3"/>
  <c r="J94" i="3"/>
  <c r="J95" i="3"/>
  <c r="J81" i="3"/>
  <c r="J96" i="3"/>
  <c r="J97" i="3"/>
  <c r="J98" i="3"/>
  <c r="J82" i="3"/>
  <c r="J99" i="3"/>
  <c r="J100" i="3"/>
  <c r="J83" i="3"/>
  <c r="J101" i="3"/>
  <c r="J102" i="3"/>
  <c r="J103" i="3"/>
  <c r="J104" i="3"/>
  <c r="J76" i="3"/>
  <c r="J105" i="3"/>
  <c r="J78" i="3"/>
  <c r="J108" i="3"/>
  <c r="J133" i="3"/>
  <c r="J337" i="3"/>
  <c r="J354" i="3"/>
  <c r="J338" i="3"/>
  <c r="J339" i="3"/>
  <c r="J340" i="3"/>
  <c r="J341" i="3"/>
  <c r="J353" i="3"/>
  <c r="J342" i="3"/>
  <c r="J336" i="3"/>
  <c r="J343" i="3"/>
  <c r="J344" i="3"/>
  <c r="J345" i="3"/>
  <c r="J346" i="3"/>
  <c r="J347" i="3"/>
  <c r="J355" i="3"/>
  <c r="J356" i="3"/>
  <c r="J357" i="3"/>
  <c r="J348" i="3"/>
  <c r="J358" i="3"/>
  <c r="J349" i="3"/>
  <c r="J359" i="3"/>
  <c r="J350" i="3"/>
  <c r="J352" i="3"/>
  <c r="J360" i="3"/>
  <c r="J351" i="3"/>
  <c r="J361" i="3"/>
  <c r="J240" i="3"/>
  <c r="J284" i="3"/>
  <c r="J4" i="3"/>
  <c r="J5"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25" i="3"/>
  <c r="J273" i="3"/>
  <c r="J274" i="3"/>
  <c r="J275" i="3"/>
  <c r="J276" i="3"/>
  <c r="J277" i="3"/>
  <c r="J278" i="3"/>
  <c r="J279" i="3"/>
  <c r="J227" i="3"/>
  <c r="J239" i="3"/>
  <c r="J304" i="3"/>
  <c r="J305" i="3"/>
  <c r="J158" i="3"/>
  <c r="J165" i="3"/>
  <c r="J145" i="3"/>
  <c r="J160" i="3"/>
  <c r="J166" i="3"/>
  <c r="J169" i="3"/>
  <c r="J161" i="3"/>
  <c r="J167" i="3"/>
  <c r="J144" i="3"/>
  <c r="J149" i="3"/>
  <c r="J150" i="3"/>
  <c r="J151" i="3"/>
  <c r="J154" i="3"/>
  <c r="J147" i="3"/>
  <c r="J190" i="3"/>
  <c r="J153" i="3"/>
  <c r="J191" i="3"/>
  <c r="J157" i="3"/>
  <c r="J156" i="3"/>
  <c r="J155" i="3"/>
  <c r="J159" i="3"/>
  <c r="J162" i="3"/>
  <c r="J192" i="3"/>
  <c r="J146" i="3"/>
  <c r="J148" i="3"/>
  <c r="J163" i="3"/>
  <c r="J164" i="3"/>
  <c r="J53" i="3"/>
  <c r="J49" i="3"/>
  <c r="J54" i="3"/>
  <c r="J50" i="3"/>
  <c r="J51" i="3"/>
  <c r="J52" i="3"/>
  <c r="J55" i="3"/>
  <c r="J56" i="3"/>
  <c r="J142" i="3"/>
  <c r="J136" i="3"/>
  <c r="J137" i="3"/>
  <c r="J143" i="3"/>
  <c r="J138" i="3"/>
  <c r="J139" i="3"/>
  <c r="J140" i="3"/>
  <c r="J141" i="3"/>
  <c r="J3" i="3"/>
  <c r="J335" i="3"/>
  <c r="J57" i="3"/>
  <c r="J61" i="3"/>
  <c r="J64" i="3"/>
  <c r="J65" i="3"/>
  <c r="J63" i="3"/>
  <c r="J58" i="3"/>
  <c r="J67" i="3"/>
  <c r="J59" i="3"/>
  <c r="J66" i="3"/>
  <c r="J62" i="3"/>
  <c r="J68" i="3"/>
  <c r="J69" i="3"/>
  <c r="J70" i="3"/>
  <c r="J60" i="3"/>
  <c r="J71" i="3"/>
  <c r="J47" i="3"/>
  <c r="J48" i="3"/>
  <c r="J46" i="3"/>
  <c r="J131" i="3"/>
  <c r="J132" i="3"/>
  <c r="J134" i="3"/>
  <c r="J128" i="3"/>
  <c r="J129" i="3"/>
  <c r="J130" i="3"/>
  <c r="J285" i="3"/>
  <c r="J286" i="3"/>
  <c r="J287" i="3"/>
  <c r="J288" i="3"/>
  <c r="J289" i="3"/>
  <c r="J290" i="3"/>
  <c r="J291" i="3"/>
  <c r="J292" i="3"/>
  <c r="J293" i="3"/>
  <c r="J294" i="3"/>
  <c r="J295" i="3"/>
  <c r="J296" i="3"/>
  <c r="J297" i="3"/>
  <c r="J298" i="3"/>
  <c r="J299" i="3"/>
  <c r="J300" i="3"/>
  <c r="J301" i="3"/>
  <c r="J302" i="3"/>
  <c r="J303"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173" i="3"/>
  <c r="J168" i="3"/>
  <c r="J194" i="3"/>
  <c r="J170" i="3"/>
  <c r="J195" i="3"/>
  <c r="J439" i="3"/>
  <c r="J197" i="3"/>
  <c r="J443" i="3"/>
  <c r="J199" i="3"/>
  <c r="J171" i="3"/>
  <c r="J200" i="3"/>
  <c r="J172" i="3"/>
  <c r="J174" i="3"/>
  <c r="J201" i="3"/>
  <c r="J202" i="3"/>
  <c r="J203" i="3"/>
  <c r="J175" i="3"/>
  <c r="J176" i="3"/>
  <c r="J204" i="3"/>
  <c r="J205" i="3"/>
  <c r="J177" i="3"/>
  <c r="J178" i="3"/>
  <c r="J183" i="3"/>
  <c r="J206" i="3"/>
  <c r="J184" i="3"/>
  <c r="J207" i="3"/>
  <c r="J208" i="3"/>
  <c r="J209" i="3"/>
  <c r="J185" i="3"/>
  <c r="J179" i="3"/>
  <c r="J210" i="3"/>
  <c r="J180" i="3"/>
  <c r="J181" i="3"/>
  <c r="J445" i="3"/>
  <c r="J212" i="3"/>
  <c r="J213" i="3"/>
  <c r="J214" i="3"/>
  <c r="J182" i="3"/>
  <c r="J215" i="3"/>
  <c r="J186" i="3"/>
  <c r="J216" i="3"/>
  <c r="J446" i="3"/>
  <c r="J218" i="3"/>
  <c r="J187" i="3"/>
  <c r="J188" i="3"/>
  <c r="J219" i="3"/>
  <c r="J189" i="3"/>
  <c r="J14" i="3"/>
  <c r="J12" i="3"/>
  <c r="J15" i="3"/>
  <c r="J16" i="3"/>
  <c r="J17" i="3"/>
  <c r="J34" i="3"/>
  <c r="J36" i="3"/>
  <c r="J31" i="3"/>
  <c r="J18" i="3"/>
  <c r="J19" i="3"/>
  <c r="J20" i="3"/>
  <c r="J21" i="3"/>
  <c r="J22" i="3"/>
  <c r="J37" i="3"/>
  <c r="J23" i="3"/>
  <c r="J24" i="3"/>
  <c r="J13" i="3"/>
  <c r="J32" i="3"/>
  <c r="J38" i="3"/>
  <c r="J25" i="3"/>
  <c r="J26" i="3"/>
  <c r="J33" i="3"/>
  <c r="J27" i="3"/>
  <c r="J35" i="3"/>
  <c r="J39" i="3"/>
  <c r="J28" i="3"/>
  <c r="J40" i="3"/>
  <c r="J29" i="3"/>
  <c r="J30" i="3"/>
  <c r="J45" i="3"/>
  <c r="J6" i="3"/>
  <c r="J10" i="3"/>
  <c r="J7" i="3"/>
  <c r="J8" i="3"/>
  <c r="J9" i="3"/>
  <c r="J11" i="3"/>
  <c r="V196" i="3"/>
  <c r="V222" i="3"/>
  <c r="V229" i="3"/>
  <c r="V230" i="3"/>
  <c r="V198" i="3"/>
  <c r="V231" i="3"/>
  <c r="V232" i="3"/>
  <c r="V233" i="3"/>
  <c r="V211" i="3"/>
  <c r="V193" i="3"/>
  <c r="V234" i="3"/>
  <c r="V235" i="3"/>
  <c r="V223" i="3"/>
  <c r="V224" i="3"/>
  <c r="V236" i="3"/>
  <c r="V217" i="3"/>
  <c r="V220" i="3"/>
  <c r="V237" i="3"/>
  <c r="V238" i="3"/>
  <c r="V226" i="3"/>
  <c r="V228" i="3"/>
  <c r="V221" i="3"/>
  <c r="V110" i="3"/>
  <c r="V109" i="3"/>
  <c r="V111" i="3"/>
  <c r="V113" i="3"/>
  <c r="V112" i="3"/>
  <c r="V114" i="3"/>
  <c r="V115" i="3"/>
  <c r="V116" i="3"/>
  <c r="V117" i="3"/>
  <c r="V118" i="3"/>
  <c r="V119" i="3"/>
  <c r="V120" i="3"/>
  <c r="V121" i="3"/>
  <c r="V122" i="3"/>
  <c r="V123" i="3"/>
  <c r="V124" i="3"/>
  <c r="V125" i="3"/>
  <c r="V126" i="3"/>
  <c r="V127" i="3"/>
  <c r="V41" i="3"/>
  <c r="V42" i="3"/>
  <c r="V43" i="3"/>
  <c r="V44" i="3"/>
  <c r="V282" i="3"/>
  <c r="V242" i="3"/>
  <c r="V447" i="3"/>
  <c r="V283" i="3"/>
  <c r="V364" i="3"/>
  <c r="V363" i="3"/>
  <c r="V366" i="3"/>
  <c r="V365" i="3"/>
  <c r="V431" i="3"/>
  <c r="V437" i="3"/>
  <c r="V368" i="3"/>
  <c r="V367" i="3"/>
  <c r="V369" i="3"/>
  <c r="V371" i="3"/>
  <c r="V440" i="3"/>
  <c r="V373" i="3"/>
  <c r="V374" i="3"/>
  <c r="V432" i="3"/>
  <c r="V375" i="3"/>
  <c r="V376" i="3"/>
  <c r="V377" i="3"/>
  <c r="V370" i="3"/>
  <c r="V398" i="3"/>
  <c r="V378" i="3"/>
  <c r="V379" i="3"/>
  <c r="V380" i="3"/>
  <c r="V387" i="3"/>
  <c r="V382" i="3"/>
  <c r="V442" i="3"/>
  <c r="V381" i="3"/>
  <c r="V383" i="3"/>
  <c r="V384" i="3"/>
  <c r="V433" i="3"/>
  <c r="V386" i="3"/>
  <c r="V388" i="3"/>
  <c r="V385" i="3"/>
  <c r="V390" i="3"/>
  <c r="V391" i="3"/>
  <c r="V281" i="3"/>
  <c r="V392" i="3"/>
  <c r="V393" i="3"/>
  <c r="V389" i="3"/>
  <c r="V394" i="3"/>
  <c r="V372" i="3"/>
  <c r="V396" i="3"/>
  <c r="V395" i="3"/>
  <c r="V399" i="3"/>
  <c r="V401" i="3"/>
  <c r="V397" i="3"/>
  <c r="V403" i="3"/>
  <c r="V404" i="3"/>
  <c r="V405" i="3"/>
  <c r="V400" i="3"/>
  <c r="V402" i="3"/>
  <c r="V407" i="3"/>
  <c r="V406" i="3"/>
  <c r="V434" i="3"/>
  <c r="V409" i="3"/>
  <c r="V408" i="3"/>
  <c r="V411" i="3"/>
  <c r="V410" i="3"/>
  <c r="V435" i="3"/>
  <c r="V413" i="3"/>
  <c r="V441" i="3"/>
  <c r="V412" i="3"/>
  <c r="V415" i="3"/>
  <c r="V362" i="3"/>
  <c r="V414" i="3"/>
  <c r="V416" i="3"/>
  <c r="V418" i="3"/>
  <c r="V417" i="3"/>
  <c r="V420" i="3"/>
  <c r="V419" i="3"/>
  <c r="V241" i="3"/>
  <c r="V422" i="3"/>
  <c r="V436" i="3"/>
  <c r="V421" i="3"/>
  <c r="V424" i="3"/>
  <c r="V425" i="3"/>
  <c r="V426" i="3"/>
  <c r="V438" i="3"/>
  <c r="V280" i="3"/>
  <c r="V427" i="3"/>
  <c r="V428" i="3"/>
  <c r="V272" i="3"/>
  <c r="V429" i="3"/>
  <c r="V423" i="3"/>
  <c r="V430" i="3"/>
  <c r="V84" i="3"/>
  <c r="V73" i="3"/>
  <c r="V75" i="3"/>
  <c r="V72" i="3"/>
  <c r="V85" i="3"/>
  <c r="V86" i="3"/>
  <c r="V87" i="3"/>
  <c r="V88" i="3"/>
  <c r="V89" i="3"/>
  <c r="V77" i="3"/>
  <c r="V90" i="3"/>
  <c r="V74" i="3"/>
  <c r="V91" i="3"/>
  <c r="V106" i="3"/>
  <c r="V92" i="3"/>
  <c r="V107" i="3"/>
  <c r="V79" i="3"/>
  <c r="V93" i="3"/>
  <c r="V80" i="3"/>
  <c r="V94" i="3"/>
  <c r="V95" i="3"/>
  <c r="V81" i="3"/>
  <c r="V96" i="3"/>
  <c r="V97" i="3"/>
  <c r="V98" i="3"/>
  <c r="V82" i="3"/>
  <c r="V99" i="3"/>
  <c r="V100" i="3"/>
  <c r="V83" i="3"/>
  <c r="V101" i="3"/>
  <c r="V102" i="3"/>
  <c r="V103" i="3"/>
  <c r="V104" i="3"/>
  <c r="V76" i="3"/>
  <c r="V105" i="3"/>
  <c r="V78" i="3"/>
  <c r="V108" i="3"/>
  <c r="V133" i="3"/>
  <c r="V337" i="3"/>
  <c r="V354" i="3"/>
  <c r="V338" i="3"/>
  <c r="V339" i="3"/>
  <c r="V340" i="3"/>
  <c r="V341" i="3"/>
  <c r="V353" i="3"/>
  <c r="V342" i="3"/>
  <c r="V336" i="3"/>
  <c r="V343" i="3"/>
  <c r="V344" i="3"/>
  <c r="V345" i="3"/>
  <c r="V346" i="3"/>
  <c r="V347" i="3"/>
  <c r="V355" i="3"/>
  <c r="V356" i="3"/>
  <c r="V357" i="3"/>
  <c r="V348" i="3"/>
  <c r="V358" i="3"/>
  <c r="V349" i="3"/>
  <c r="V359" i="3"/>
  <c r="V350" i="3"/>
  <c r="V352" i="3"/>
  <c r="V360" i="3"/>
  <c r="V351" i="3"/>
  <c r="V361" i="3"/>
  <c r="V240" i="3"/>
  <c r="V284" i="3"/>
  <c r="V4" i="3"/>
  <c r="V5" i="3"/>
  <c r="V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25" i="3"/>
  <c r="V273" i="3"/>
  <c r="V274" i="3"/>
  <c r="V275" i="3"/>
  <c r="V276" i="3"/>
  <c r="V277" i="3"/>
  <c r="V278" i="3"/>
  <c r="V279" i="3"/>
  <c r="V227" i="3"/>
  <c r="V239" i="3"/>
  <c r="V304" i="3"/>
  <c r="V305" i="3"/>
  <c r="V158" i="3"/>
  <c r="V165" i="3"/>
  <c r="V145" i="3"/>
  <c r="V160" i="3"/>
  <c r="V166" i="3"/>
  <c r="V169" i="3"/>
  <c r="V161" i="3"/>
  <c r="V167" i="3"/>
  <c r="V144" i="3"/>
  <c r="V149" i="3"/>
  <c r="V150" i="3"/>
  <c r="V151" i="3"/>
  <c r="V154" i="3"/>
  <c r="V147" i="3"/>
  <c r="V152" i="3"/>
  <c r="V190" i="3"/>
  <c r="V153" i="3"/>
  <c r="V191" i="3"/>
  <c r="V157" i="3"/>
  <c r="V156" i="3"/>
  <c r="V155" i="3"/>
  <c r="V159" i="3"/>
  <c r="V162" i="3"/>
  <c r="V192" i="3"/>
  <c r="V146" i="3"/>
  <c r="V148" i="3"/>
  <c r="V163" i="3"/>
  <c r="V164" i="3"/>
  <c r="V53" i="3"/>
  <c r="V49" i="3"/>
  <c r="V54" i="3"/>
  <c r="V50" i="3"/>
  <c r="V51" i="3"/>
  <c r="V52" i="3"/>
  <c r="V55" i="3"/>
  <c r="V56" i="3"/>
  <c r="V142" i="3"/>
  <c r="V136" i="3"/>
  <c r="V137" i="3"/>
  <c r="V143" i="3"/>
  <c r="V138" i="3"/>
  <c r="V139" i="3"/>
  <c r="V140" i="3"/>
  <c r="V141" i="3"/>
  <c r="V3" i="3"/>
  <c r="V335" i="3"/>
  <c r="V57" i="3"/>
  <c r="V61" i="3"/>
  <c r="V64" i="3"/>
  <c r="V65" i="3"/>
  <c r="V63" i="3"/>
  <c r="V58" i="3"/>
  <c r="V67" i="3"/>
  <c r="V59" i="3"/>
  <c r="V66" i="3"/>
  <c r="V62" i="3"/>
  <c r="V68" i="3"/>
  <c r="V69" i="3"/>
  <c r="V70" i="3"/>
  <c r="V60" i="3"/>
  <c r="V71" i="3"/>
  <c r="V47" i="3"/>
  <c r="V48" i="3"/>
  <c r="V46" i="3"/>
  <c r="V131" i="3"/>
  <c r="V132" i="3"/>
  <c r="V134" i="3"/>
  <c r="V128" i="3"/>
  <c r="V129" i="3"/>
  <c r="V130" i="3"/>
  <c r="V285" i="3"/>
  <c r="V286" i="3"/>
  <c r="V287" i="3"/>
  <c r="V288" i="3"/>
  <c r="V289" i="3"/>
  <c r="V290" i="3"/>
  <c r="V291" i="3"/>
  <c r="V292" i="3"/>
  <c r="V293" i="3"/>
  <c r="V294" i="3"/>
  <c r="V295" i="3"/>
  <c r="V296" i="3"/>
  <c r="V297" i="3"/>
  <c r="V298" i="3"/>
  <c r="V299" i="3"/>
  <c r="V300" i="3"/>
  <c r="V301" i="3"/>
  <c r="V302" i="3"/>
  <c r="V303"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173" i="3"/>
  <c r="V168" i="3"/>
  <c r="V194" i="3"/>
  <c r="V170" i="3"/>
  <c r="V195" i="3"/>
  <c r="V439" i="3"/>
  <c r="V197" i="3"/>
  <c r="V443" i="3"/>
  <c r="V199" i="3"/>
  <c r="V171" i="3"/>
  <c r="V200" i="3"/>
  <c r="V172" i="3"/>
  <c r="V174" i="3"/>
  <c r="V201" i="3"/>
  <c r="V202" i="3"/>
  <c r="V203" i="3"/>
  <c r="V175" i="3"/>
  <c r="V176" i="3"/>
  <c r="V204" i="3"/>
  <c r="V205" i="3"/>
  <c r="V177" i="3"/>
  <c r="V178" i="3"/>
  <c r="V183" i="3"/>
  <c r="V206" i="3"/>
  <c r="V184" i="3"/>
  <c r="V207" i="3"/>
  <c r="V208" i="3"/>
  <c r="V209" i="3"/>
  <c r="V185" i="3"/>
  <c r="V179" i="3"/>
  <c r="V210" i="3"/>
  <c r="V180" i="3"/>
  <c r="V181" i="3"/>
  <c r="V445" i="3"/>
  <c r="V212" i="3"/>
  <c r="V213" i="3"/>
  <c r="V214" i="3"/>
  <c r="V182" i="3"/>
  <c r="V215" i="3"/>
  <c r="V186" i="3"/>
  <c r="V216" i="3"/>
  <c r="V446" i="3"/>
  <c r="V218" i="3"/>
  <c r="V187" i="3"/>
  <c r="V188" i="3"/>
  <c r="V219" i="3"/>
  <c r="V189" i="3"/>
  <c r="V14" i="3"/>
  <c r="V12" i="3"/>
  <c r="V15" i="3"/>
  <c r="V16" i="3"/>
  <c r="V17" i="3"/>
  <c r="V34" i="3"/>
  <c r="V36" i="3"/>
  <c r="V31" i="3"/>
  <c r="V18" i="3"/>
  <c r="V19" i="3"/>
  <c r="V20" i="3"/>
  <c r="V21" i="3"/>
  <c r="V22" i="3"/>
  <c r="V37" i="3"/>
  <c r="V23" i="3"/>
  <c r="V24" i="3"/>
  <c r="V13" i="3"/>
  <c r="V32" i="3"/>
  <c r="V38" i="3"/>
  <c r="V25" i="3"/>
  <c r="V26" i="3"/>
  <c r="V33" i="3"/>
  <c r="V27" i="3"/>
  <c r="V35" i="3"/>
  <c r="V39" i="3"/>
  <c r="V28" i="3"/>
  <c r="V40" i="3"/>
  <c r="V29" i="3"/>
  <c r="V30" i="3"/>
  <c r="V45" i="3"/>
  <c r="V6" i="3"/>
  <c r="V10" i="3"/>
  <c r="V7" i="3"/>
  <c r="V8" i="3"/>
  <c r="V9" i="3"/>
  <c r="V11" i="3"/>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F33F87-B2BF-4A9E-9817-C7E2ACF8AD12}" keepAlive="1" name="Query - dalptfs01-report" description="Connection to the 'dalptfs01-report' query in the workbook." type="5" refreshedVersion="8" background="1" saveData="1">
    <dbPr connection="Provider=Microsoft.Mashup.OleDb.1;Data Source=$Workbook$;Location=dalptfs01-report;Extended Properties=&quot;&quot;" command="SELECT * FROM [dalptfs01-report]"/>
  </connection>
  <connection id="2" xr16:uid="{49B137AB-2878-454B-ADC9-5C2D355507AC}" keepAlive="1" name="Query - dalptfs01-report (2)" description="Connection to the 'dalptfs01-report (2)' query in the workbook." type="5" refreshedVersion="8" background="1" saveData="1">
    <dbPr connection="Provider=Microsoft.Mashup.OleDb.1;Data Source=$Workbook$;Location=&quot;dalptfs01-report (2)&quot;;Extended Properties=&quot;&quot;" command="SELECT * FROM [dalptfs01-report (2)]"/>
  </connection>
  <connection id="3" xr16:uid="{E6750FBF-0BA3-45BE-9C42-DD30D4EE8E2C}" keepAlive="1" name="Query - dalptfs01-report (3)" description="Connection to the 'dalptfs01-report (3)' query in the workbook." type="5" refreshedVersion="8" background="1" saveData="1">
    <dbPr connection="Provider=Microsoft.Mashup.OleDb.1;Data Source=$Workbook$;Location=&quot;dalptfs01-report (3)&quot;;Extended Properties=&quot;&quot;" command="SELECT * FROM [dalptfs01-report (3)]"/>
  </connection>
</connections>
</file>

<file path=xl/sharedStrings.xml><?xml version="1.0" encoding="utf-8"?>
<sst xmlns="http://schemas.openxmlformats.org/spreadsheetml/2006/main" count="20611" uniqueCount="2512">
  <si>
    <t>Type</t>
  </si>
  <si>
    <t>Collection</t>
  </si>
  <si>
    <t>projects.name</t>
  </si>
  <si>
    <t>TFVC/Git</t>
  </si>
  <si>
    <t>Archive</t>
  </si>
  <si>
    <t>Empty</t>
  </si>
  <si>
    <t>Company</t>
  </si>
  <si>
    <t>Active</t>
  </si>
  <si>
    <t>Project-LastUpdate</t>
  </si>
  <si>
    <t>Year</t>
  </si>
  <si>
    <t>Reviewer</t>
  </si>
  <si>
    <t>Project Admins</t>
  </si>
  <si>
    <t>App Developers</t>
  </si>
  <si>
    <t>Comments</t>
  </si>
  <si>
    <t>projects.lastUpdateTime</t>
  </si>
  <si>
    <t>projects.url</t>
  </si>
  <si>
    <t>url</t>
  </si>
  <si>
    <t>Collection.id</t>
  </si>
  <si>
    <t>projects.id</t>
  </si>
  <si>
    <t>projects.state</t>
  </si>
  <si>
    <t>projects.revision</t>
  </si>
  <si>
    <t>Project-LastUpdate2</t>
  </si>
  <si>
    <t>projects.visibility</t>
  </si>
  <si>
    <t>projects.description2</t>
  </si>
  <si>
    <t>projectCollections</t>
  </si>
  <si>
    <t>DefaultCollection</t>
  </si>
  <si>
    <t>Yes</t>
  </si>
  <si>
    <t>MDR</t>
  </si>
  <si>
    <t>No</t>
  </si>
  <si>
    <t>http://dalptfs01:8080/tfs/_apis/projectCollections/23c86767-d578-4df5-b6d3-5b008c092f02</t>
  </si>
  <si>
    <t>23c86767-d578-4df5-b6d3-5b008c092f02</t>
  </si>
  <si>
    <t>PDEPrograms</t>
  </si>
  <si>
    <t>http://dalptfs01:8080/tfs/_apis/projectCollections/f1e18761-02e8-430c-a71b-2ef3bbfd62e6</t>
  </si>
  <si>
    <t>f1e18761-02e8-430c-a71b-2ef3bbfd62e6</t>
  </si>
  <si>
    <t>CRPBTRWEB02</t>
  </si>
  <si>
    <t>TFVC</t>
  </si>
  <si>
    <t>09/26/2019</t>
  </si>
  <si>
    <t>NA</t>
  </si>
  <si>
    <t>2019-09-26T08:27:11.937Z</t>
  </si>
  <si>
    <t>http://dalptfs01:8080/tfs/Archive/_apis/projects/e4ec4e73-1f9b-4153-b20b-7235f0badbfd</t>
  </si>
  <si>
    <t>http://dalptfs01:8080/tfs/_apis/projectCollections/0bc4d560-69ad-45ce-84b0-f7c68ca70039</t>
  </si>
  <si>
    <t>0bc4d560-69ad-45ce-84b0-f7c68ca70039</t>
  </si>
  <si>
    <t>e4ec4e73-1f9b-4153-b20b-7235f0badbfd</t>
  </si>
  <si>
    <t>wellFormed</t>
  </si>
  <si>
    <t>private</t>
  </si>
  <si>
    <t>test project</t>
  </si>
  <si>
    <t>TKL TEST</t>
  </si>
  <si>
    <t>2019-09-26T08:27:12.2Z</t>
  </si>
  <si>
    <t>http://dalptfs01:8080/tfs/Archive/_apis/projects/d0d85e03-4f03-4d5f-8012-c51672d32d11</t>
  </si>
  <si>
    <t>d0d85e03-4f03-4d5f-8012-c51672d32d11</t>
  </si>
  <si>
    <t>AsiaPacific</t>
  </si>
  <si>
    <t>BusinessIntelligence</t>
  </si>
  <si>
    <t>10/25/2019</t>
  </si>
  <si>
    <t>Dodi / Bobbi</t>
  </si>
  <si>
    <t>NUNadhiroh@mcdermott.com</t>
  </si>
  <si>
    <t>All repos are inactive</t>
  </si>
  <si>
    <t>2019-10-25T17:04:14.837Z</t>
  </si>
  <si>
    <t>http://dalptfs01:8080/tfs/AsiaPacific/_apis/projects/bb9979be-eeca-4a88-9d6d-c7039cd9159c</t>
  </si>
  <si>
    <t>http://dalptfs01:8080/tfs/_apis/projectCollections/38015e3e-dbc4-4d5c-8d13-4c272ada5f40</t>
  </si>
  <si>
    <t>38015e3e-dbc4-4d5c-8d13-4c272ada5f40</t>
  </si>
  <si>
    <t>bb9979be-eeca-4a88-9d6d-c7039cd9159c</t>
  </si>
  <si>
    <t>Collection for applications for Project Control</t>
  </si>
  <si>
    <t>Accounting</t>
  </si>
  <si>
    <t>Bobbi / Dodi</t>
  </si>
  <si>
    <t>Dodi said FERTIS is not active.  This is the only repo in Accounting.</t>
  </si>
  <si>
    <t>2019-10-25T17:04:16.347Z</t>
  </si>
  <si>
    <t>http://dalptfs01:8080/tfs/AsiaPacific/_apis/projects/b4e68a3c-fddd-4237-9d5e-4e695d930e85</t>
  </si>
  <si>
    <t>b4e68a3c-fddd-4237-9d5e-4e695d930e85</t>
  </si>
  <si>
    <t>Collection of Engineering Application</t>
  </si>
  <si>
    <t>Engineering</t>
  </si>
  <si>
    <t>DMSyauqi@mcdermott.com</t>
  </si>
  <si>
    <t>FRedrikana@mcdermott.com</t>
  </si>
  <si>
    <t>Linest repo is active - the other 3 are inactive.</t>
  </si>
  <si>
    <t>2019-10-25T17:04:16.443Z</t>
  </si>
  <si>
    <t>http://dalptfs01:8080/tfs/AsiaPacific/_apis/projects/853cae91-1e29-4e02-992e-93843ddbdd62</t>
  </si>
  <si>
    <t>853cae91-1e29-4e02-992e-93843ddbdd62</t>
  </si>
  <si>
    <t>Collection for IT applications</t>
  </si>
  <si>
    <t>InformationTechnology</t>
  </si>
  <si>
    <t>02/05/2021</t>
  </si>
  <si>
    <t>Bobbi/Dodi</t>
  </si>
  <si>
    <t>NUNadhiroh@mcdermott.com/Dodi/FArid Redrikana</t>
  </si>
  <si>
    <t>Dodi said LINEST is active.  The other 15 repos are inactive.</t>
  </si>
  <si>
    <t>2021-02-05T00:51:48.323Z</t>
  </si>
  <si>
    <t>http://dalptfs01:8080/tfs/AsiaPacific/_apis/projects/f196ee70-e314-4473-9d68-359a6805ef49</t>
  </si>
  <si>
    <t>f196ee70-e314-4473-9d68-359a6805ef49</t>
  </si>
  <si>
    <t>ProjectControls</t>
  </si>
  <si>
    <t>02/23/2023</t>
  </si>
  <si>
    <t>Bobbi</t>
  </si>
  <si>
    <t>AKManunggal@mcdermott.com, AAmar@mcdermott.com</t>
  </si>
  <si>
    <t>GAMS apps needed: Workpack and GMPS.  Dodi said the remaining repos can be archived.</t>
  </si>
  <si>
    <t>2023-02-23T01:56:48.863Z</t>
  </si>
  <si>
    <t>http://dalptfs01:8080/tfs/AsiaPacific/_apis/projects/aced1707-1b77-4d3c-b87e-4481fea7337b</t>
  </si>
  <si>
    <t>aced1707-1b77-4d3c-b87e-4481fea7337b</t>
  </si>
  <si>
    <t>BusinessDevelopment</t>
  </si>
  <si>
    <t>2019-10-25T17:04:17.7Z</t>
  </si>
  <si>
    <t>http://dalptfs01:8080/tfs/AsiaPacific/_apis/projects/12ab78ea-295d-4ffb-b141-0d3f1a67c27e</t>
  </si>
  <si>
    <t>12ab78ea-295d-4ffb-b141-0d3f1a67c27e</t>
  </si>
  <si>
    <t>Atlantic</t>
  </si>
  <si>
    <t>McTime</t>
  </si>
  <si>
    <t>08/30/2023</t>
  </si>
  <si>
    <t>2023-08-30T10:30:47.803Z</t>
  </si>
  <si>
    <t>http://dalptfs01:8080/tfs/Atlantic/_apis/projects/c71fd7a6-3279-406f-8bba-34919350a172</t>
  </si>
  <si>
    <t>http://dalptfs01:8080/tfs/_apis/projectCollections/6f88291b-0100-4e27-8afe-624e662ecc16</t>
  </si>
  <si>
    <t>6f88291b-0100-4e27-8afe-624e662ecc16</t>
  </si>
  <si>
    <t>c71fd7a6-3279-406f-8bba-34919350a172</t>
  </si>
  <si>
    <t>Container for Engineering related systems</t>
  </si>
  <si>
    <t>McTime Agile</t>
  </si>
  <si>
    <t>Git</t>
  </si>
  <si>
    <t>09/08/2023</t>
  </si>
  <si>
    <t>2023-09-08T05:48:33.2Z</t>
  </si>
  <si>
    <t>http://dalptfs01:8080/tfs/Atlantic/_apis/projects/31beb2cd-1c78-452b-9af4-0a01603e35b2</t>
  </si>
  <si>
    <t>31beb2cd-1c78-452b-9af4-0a01603e35b2</t>
  </si>
  <si>
    <t>Container for Time related systems</t>
  </si>
  <si>
    <t>QHSES</t>
  </si>
  <si>
    <t>2019-10-25T17:32:06.327Z</t>
  </si>
  <si>
    <t>http://dalptfs01:8080/tfs/Atlantic/_apis/projects/ed722311-5181-4367-a092-13a8804c51eb</t>
  </si>
  <si>
    <t>ed722311-5181-4367-a092-13a8804c51eb</t>
  </si>
  <si>
    <t>EP Mustafa</t>
  </si>
  <si>
    <t>2019-10-25T17:32:06.57Z</t>
  </si>
  <si>
    <t>http://dalptfs01:8080/tfs/Atlantic/_apis/projects/5709cbcc-4b0d-4cd1-9f63-da690702637e</t>
  </si>
  <si>
    <t>5709cbcc-4b0d-4cd1-9f63-da690702637e</t>
  </si>
  <si>
    <t>Container for Enterprise Content &amp; Collaboration</t>
  </si>
  <si>
    <t>ECM</t>
  </si>
  <si>
    <t>2019-10-25T17:32:06.64Z</t>
  </si>
  <si>
    <t>http://dalptfs01:8080/tfs/Atlantic/_apis/projects/b2d1472a-6c09-416c-825c-19813220d5fa</t>
  </si>
  <si>
    <t>b2d1472a-6c09-416c-825c-19813220d5fa</t>
  </si>
  <si>
    <t>Container for Marine related systems</t>
  </si>
  <si>
    <t>Marine</t>
  </si>
  <si>
    <t>mverma@mcdermott.com</t>
  </si>
  <si>
    <t>2019-10-25T17:32:06.71Z</t>
  </si>
  <si>
    <t>http://dalptfs01:8080/tfs/Atlantic/_apis/projects/d7f7381c-d2b7-454f-ad0e-d70e856d9e06</t>
  </si>
  <si>
    <t>d7f7381c-d2b7-454f-ad0e-d70e856d9e06</t>
  </si>
  <si>
    <t>Container for Materials related systems</t>
  </si>
  <si>
    <t>Treasury</t>
  </si>
  <si>
    <t>SKYeleswaram@mcdermott.com</t>
  </si>
  <si>
    <t>2019-10-25T17:32:07.007Z</t>
  </si>
  <si>
    <t>http://dalptfs01:8080/tfs/Atlantic/_apis/projects/21619df2-216a-4f5e-96fb-067ba1923c34</t>
  </si>
  <si>
    <t>21619df2-216a-4f5e-96fb-067ba1923c34</t>
  </si>
  <si>
    <t>Container for the systems inherited from MII as part of the split</t>
  </si>
  <si>
    <t>MII Transition Systems</t>
  </si>
  <si>
    <t>2019-10-25T17:32:07.08Z</t>
  </si>
  <si>
    <t>http://dalptfs01:8080/tfs/Atlantic/_apis/projects/add41823-aa76-4da4-ac36-015622d4d96d</t>
  </si>
  <si>
    <t>add41823-aa76-4da4-ac36-015622d4d96d</t>
  </si>
  <si>
    <t>Container for Projects related systems</t>
  </si>
  <si>
    <t>Projects</t>
  </si>
  <si>
    <t>2019-10-25T17:32:07.26Z</t>
  </si>
  <si>
    <t>http://dalptfs01:8080/tfs/Atlantic/_apis/projects/b97103b4-aa4d-4c52-adbb-0236c3145a63</t>
  </si>
  <si>
    <t>b97103b4-aa4d-4c52-adbb-0236c3145a63</t>
  </si>
  <si>
    <t>Container for Project Controls related systems</t>
  </si>
  <si>
    <t>11/07/2019</t>
  </si>
  <si>
    <t>Christopher.Bahr@mcdermott.com, TNguyen@mcdermott.com, bparkis@mcdermott.com, ZMohammad@mcdermott.com</t>
  </si>
  <si>
    <t>Christopher.Bahr@mcdermott.com , Abhisek.Munshi@mcdermott.com</t>
  </si>
  <si>
    <t>GAMS app: DTCMS is needed.</t>
  </si>
  <si>
    <t>2019-11-07T20:29:35.493Z</t>
  </si>
  <si>
    <t>http://dalptfs01:8080/tfs/Atlantic/_apis/projects/08326a74-7fe3-407e-9fd9-64a9e20bb0db</t>
  </si>
  <si>
    <t>08326a74-7fe3-407e-9fd9-64a9e20bb0db</t>
  </si>
  <si>
    <t>Container for Procurement related systems</t>
  </si>
  <si>
    <t>Procurement</t>
  </si>
  <si>
    <t>2019-10-25T17:32:07.403Z</t>
  </si>
  <si>
    <t>http://dalptfs01:8080/tfs/Atlantic/_apis/projects/57dba257-adaa-41b2-85f0-e3d855455973</t>
  </si>
  <si>
    <t>57dba257-adaa-41b2-85f0-e3d855455973</t>
  </si>
  <si>
    <t>Container for Administration related systems/source code</t>
  </si>
  <si>
    <t>Fabrication</t>
  </si>
  <si>
    <t>ZMohammad@mcdermott.com</t>
  </si>
  <si>
    <t>Sharon.George@mcdermott.com , Anu.Justin@mcdermott.com , Manohar.Kokare@mcdermott.com</t>
  </si>
  <si>
    <t>GAMS app needed. ToolHound (Dodi)</t>
  </si>
  <si>
    <t>2019-10-25T17:32:07.647Z</t>
  </si>
  <si>
    <t>http://dalptfs01:8080/tfs/Atlantic/_apis/projects/704e715e-f7f9-49db-a39c-a4e37b60620a</t>
  </si>
  <si>
    <t>704e715e-f7f9-49db-a39c-a4e37b60620a</t>
  </si>
  <si>
    <t>Estimation</t>
  </si>
  <si>
    <t>Christopher.Bahr@mcdermott.com, bparkis@mcdermott.com</t>
  </si>
  <si>
    <t>2019-10-25T17:32:07.72Z</t>
  </si>
  <si>
    <t>http://dalptfs01:8080/tfs/Atlantic/_apis/projects/e5cecda1-8955-47dc-8804-4b30e492c5df</t>
  </si>
  <si>
    <t>e5cecda1-8955-47dc-8804-4b30e492c5df</t>
  </si>
  <si>
    <t>with agile template</t>
  </si>
  <si>
    <t>HumanResources</t>
  </si>
  <si>
    <t xml:space="preserve">rmanjares@mcdermott.com, Abhisek.Munshi@mcdermott.com, </t>
  </si>
  <si>
    <t>2019-10-25T17:32:07.947Z</t>
  </si>
  <si>
    <t>http://dalptfs01:8080/tfs/Atlantic/_apis/projects/c68ad204-95c3-4fcf-9ec8-67fa67640aa5</t>
  </si>
  <si>
    <t>c68ad204-95c3-4fcf-9ec8-67fa67640aa5</t>
  </si>
  <si>
    <t>Container for Tax related systems</t>
  </si>
  <si>
    <t>Tax</t>
  </si>
  <si>
    <t>2019-10-25T17:32:08.02Z</t>
  </si>
  <si>
    <t>http://dalptfs01:8080/tfs/Atlantic/_apis/projects/1f4b93d4-e0e9-41ed-a103-c6f8ed2a797c</t>
  </si>
  <si>
    <t>1f4b93d4-e0e9-41ed-a103-c6f8ed2a797c</t>
  </si>
  <si>
    <t>Container for Finance related systems</t>
  </si>
  <si>
    <t>Integration</t>
  </si>
  <si>
    <t xml:space="preserve">SKYeleswaram@mcdermott.com, TNguyen@mcdermott.com, </t>
  </si>
  <si>
    <t>Smrutilipsa.Nayak@mcdermott.com Smrutilipsa.Nayak@mcdermott.com</t>
  </si>
  <si>
    <t>GAMS app needed: One ERP - On Demand Tool (Atlantic/Integration/OneERP/ERPSystemCode)</t>
  </si>
  <si>
    <t>2019-10-25T17:32:08.387Z</t>
  </si>
  <si>
    <t>http://dalptfs01:8080/tfs/Atlantic/_apis/projects/8e66eced-e7ee-46f7-9df2-2e8b01517168</t>
  </si>
  <si>
    <t>8e66eced-e7ee-46f7-9df2-2e8b01517168</t>
  </si>
  <si>
    <t>McTime - McDermott Time Keeping System</t>
  </si>
  <si>
    <t>10/28/2019</t>
  </si>
  <si>
    <t>Bobbi/Reshma/Kalyani</t>
  </si>
  <si>
    <t>rjacob2@mcdermott.com</t>
  </si>
  <si>
    <t>Chhavi.Dutt@mcdermott.com , Santhosh.V.Kumar@mcdermott.com , Sreejith.R@mcdermott.com</t>
  </si>
  <si>
    <t>Needs reviewed at repo/folder level.  IT_COST_APEX(Reshma) and MyID (Kalyani Haridas) needed at minimum.</t>
  </si>
  <si>
    <t>2019-10-28T13:24:34.537Z</t>
  </si>
  <si>
    <t>http://dalptfs01:8080/tfs/Atlantic/_apis/projects/099b2c7a-c9b1-4c3f-96ed-a71fd1570221</t>
  </si>
  <si>
    <t>099b2c7a-c9b1-4c3f-96ed-a71fd1570221</t>
  </si>
  <si>
    <t>Container for Communications related systems</t>
  </si>
  <si>
    <t>2019-10-25T17:32:08.777Z</t>
  </si>
  <si>
    <t>http://dalptfs01:8080/tfs/Atlantic/_apis/projects/8dcc88fc-51d3-4f22-9e4c-b2547ec9c0f4</t>
  </si>
  <si>
    <t>8dcc88fc-51d3-4f22-9e4c-b2547ec9c0f4</t>
  </si>
  <si>
    <t>Records Management</t>
  </si>
  <si>
    <t>2019-10-25T17:32:08.853Z</t>
  </si>
  <si>
    <t>http://dalptfs01:8080/tfs/Atlantic/_apis/projects/9b367878-b8fa-40c0-8329-5d0dee3ab917</t>
  </si>
  <si>
    <t>9b367878-b8fa-40c0-8329-5d0dee3ab917</t>
  </si>
  <si>
    <t>04/27/2020</t>
  </si>
  <si>
    <t>bparkis@mcdermott.com, SKYeleswaram@mcdermott.com</t>
  </si>
  <si>
    <t>Sushil.Prajapati@mcdermott.com</t>
  </si>
  <si>
    <t>2020-04-27T12:28:36.33Z</t>
  </si>
  <si>
    <t>http://dalptfs01:8080/tfs/Atlantic/_apis/projects/9946bebc-d71f-4e20-8c17-a15e8f3d458b</t>
  </si>
  <si>
    <t>9946bebc-d71f-4e20-8c17-a15e8f3d458b</t>
  </si>
  <si>
    <t>This is the container for Treasury related systems</t>
  </si>
  <si>
    <t>TimeKeeping</t>
  </si>
  <si>
    <t>Bobbi/Reshma/Ziyad/Kalyani</t>
  </si>
  <si>
    <t>rjacob2@mcdermott.com , ZMohammad@mcdermott.com , ASantoso@mcdermott.com , Chhavi.Dutt@mcdermott.com</t>
  </si>
  <si>
    <t>Abhisek.Munshi@mcdermott.com</t>
  </si>
  <si>
    <t xml:space="preserve">Kronos (Kalyani Haridas), ETS(Reshma), TimeKeeping and TimeSystem (Ziyad) is needed.  Ziyad: We need to rename the repository while we move to github. Let us know the process, also we have user stories and documentation in Azure Devops under the same project, will that be migrated along with source repository ? </t>
  </si>
  <si>
    <t>2020-05-20T08:12:06.043Z</t>
  </si>
  <si>
    <t>http://dalptfs01:8080/tfs/Atlantic/_apis/projects/f0705eb5-78be-489f-ab42-a44134a2d6d8</t>
  </si>
  <si>
    <t>f0705eb5-78be-489f-ab42-a44134a2d6d8</t>
  </si>
  <si>
    <t>Container for Ethics and Compliance related systems</t>
  </si>
  <si>
    <t>Finance</t>
  </si>
  <si>
    <t>07/30/2020</t>
  </si>
  <si>
    <t>Bobbi / Adrija Nag / Santha</t>
  </si>
  <si>
    <t>Abhisek.Munshi@mcdermott.com , Samarpan.Banerjee@mcdermott.com</t>
  </si>
  <si>
    <t>Dell Boomi (Adrija Nag) and GAMS apps needed: Global Labor Costing Sytem, PayGLI, IC Billing (MENA_Dubai), IC Billing (AEA - Houston). Check spreadsheet from Santha.</t>
  </si>
  <si>
    <t>2020-07-30T05:35:11.397Z</t>
  </si>
  <si>
    <t>http://dalptfs01:8080/tfs/Atlantic/_apis/projects/4fd0bcc3-58bd-46ec-a769-2ba66cbe6b24</t>
  </si>
  <si>
    <t>4fd0bcc3-58bd-46ec-a769-2ba66cbe6b24</t>
  </si>
  <si>
    <t>Container for all integration projects</t>
  </si>
  <si>
    <t>Materials</t>
  </si>
  <si>
    <t>11/08/2021</t>
  </si>
  <si>
    <t>Bobbi/Reshma/Sunanda/Kalyani</t>
  </si>
  <si>
    <t xml:space="preserve">CGeorge@mcdermott.com rjacob2@mcdermott.com </t>
  </si>
  <si>
    <t>Aouthu.Sunanda2@mcdermott.com , MZiyad@mcdermott.com , rjacob2@mcdermott.com Trina.Hua@mcdermott.com</t>
  </si>
  <si>
    <t>Needs reviewed at folder repo level.  SPMAT (Kalyani Haridas), SMAT(Reshma) and SMAT 7.x and SMAT 10.x (Sunanda) needed. (Cissy/Santha) Olives and Sports can be archived if easily accessible if needed.</t>
  </si>
  <si>
    <t>2021-11-08T05:06:05.883Z</t>
  </si>
  <si>
    <t>http://dalptfs01:8080/tfs/Atlantic/_apis/projects/5cf3bf33-6427-4393-902d-ea931149e0be</t>
  </si>
  <si>
    <t>5cf3bf33-6427-4393-902d-ea931149e0be</t>
  </si>
  <si>
    <t>Container for FloaTEC related systems</t>
  </si>
  <si>
    <t>TimeSystem</t>
  </si>
  <si>
    <t>Bobbi/Ziyad Mohammad</t>
  </si>
  <si>
    <t>ASrivastava02@mcdermott.com ZMohammad@mcdermott.com</t>
  </si>
  <si>
    <t>ZMohammad@mcdermott.com , bparkis@mcdermott.com</t>
  </si>
  <si>
    <t>2023-08-09T18:44:38.473Z</t>
  </si>
  <si>
    <t>http://dalptfs01:8080/tfs/Atlantic/_apis/projects/7a972b74-5be8-4322-93a3-720835496af7</t>
  </si>
  <si>
    <t>7a972b74-5be8-4322-93a3-720835496af7</t>
  </si>
  <si>
    <t>Container for Legal related systems</t>
  </si>
  <si>
    <t>FloaTEC</t>
  </si>
  <si>
    <t>2019-10-25T17:32:06.853Z</t>
  </si>
  <si>
    <t>http://dalptfs01:8080/tfs/Atlantic/_apis/projects/53115627-3b0d-4bb3-aa1c-be318380e557</t>
  </si>
  <si>
    <t>53115627-3b0d-4bb3-aa1c-be318380e557</t>
  </si>
  <si>
    <t>Container for Accounting related systems</t>
  </si>
  <si>
    <t>Administration</t>
  </si>
  <si>
    <t>2019-10-25T17:32:07.577Z</t>
  </si>
  <si>
    <t>http://dalptfs01:8080/tfs/Atlantic/_apis/projects/a02ff321-4c05-4135-bac1-f31f4d5af0ed</t>
  </si>
  <si>
    <t>a02ff321-4c05-4135-bac1-f31f4d5af0ed</t>
  </si>
  <si>
    <t>Container for Fabrication related systems</t>
  </si>
  <si>
    <t>EthicsAndCompliance</t>
  </si>
  <si>
    <t>2019-10-25T17:32:07.87Z</t>
  </si>
  <si>
    <t>http://dalptfs01:8080/tfs/Atlantic/_apis/projects/656c8668-4714-4a46-bd88-0c94e79ad57c</t>
  </si>
  <si>
    <t>656c8668-4714-4a46-bd88-0c94e79ad57c</t>
  </si>
  <si>
    <t>Container for Human Resources related systems</t>
  </si>
  <si>
    <t>Legal</t>
  </si>
  <si>
    <t>2019-10-25T17:32:08.457Z</t>
  </si>
  <si>
    <t>http://dalptfs01:8080/tfs/Atlantic/_apis/projects/163f7a24-b484-45ec-9154-f9ea4bb283f7</t>
  </si>
  <si>
    <t>163f7a24-b484-45ec-9154-f9ea4bb283f7</t>
  </si>
  <si>
    <t>Container for IT specific systems</t>
  </si>
  <si>
    <t>Communications</t>
  </si>
  <si>
    <t>2019-10-25T17:32:08.7Z</t>
  </si>
  <si>
    <t>http://dalptfs01:8080/tfs/Atlantic/_apis/projects/1bb47682-1acd-48bd-ac1a-6631602ee942</t>
  </si>
  <si>
    <t>1bb47682-1acd-48bd-ac1a-6631602ee942</t>
  </si>
  <si>
    <t>Container for systems/source code related to Business Development</t>
  </si>
  <si>
    <t>BI</t>
  </si>
  <si>
    <t>Cognos BI</t>
  </si>
  <si>
    <t>Pending</t>
  </si>
  <si>
    <t>scott.harmon@mcdermott.com</t>
  </si>
  <si>
    <t>scott.harmon@cbi.com, venkat.seshuk@mcdermott.com</t>
  </si>
  <si>
    <t>bparkis: 22Jan2026: emailed Scott Harmon/Doug Lindsay and Venkat Seshuk in regard.  Doug said he has no input.</t>
  </si>
  <si>
    <t>2019-09-26T08:10:39.543Z</t>
  </si>
  <si>
    <t>http://dalptfs01:8080/tfs/BI/_apis/projects/c754c596-8ce8-4f0a-82ea-5a06a3319f12</t>
  </si>
  <si>
    <t>http://dalptfs01:8080/tfs/_apis/projectCollections/7dfe1bb7-6a36-42f7-8f17-dcaca9805939</t>
  </si>
  <si>
    <t>7dfe1bb7-6a36-42f7-8f17-dcaca9805939</t>
  </si>
  <si>
    <t>c754c596-8ce8-4f0a-82ea-5a06a3319f12</t>
  </si>
  <si>
    <t>JDE Transaction SSAS Cube</t>
  </si>
  <si>
    <t>bparkis: 22Jan2026: emailed Scott Harmon/Doug Lindsay and Venkat Seshuk in regard. Doug said he has no input.</t>
  </si>
  <si>
    <t>2019-09-26T08:10:40.03Z</t>
  </si>
  <si>
    <t>http://dalptfs01:8080/tfs/BI/_apis/projects/b1858a2f-29ee-4c54-988f-b46f859cdaaf</t>
  </si>
  <si>
    <t>b1858a2f-29ee-4c54-988f-b46f859cdaaf</t>
  </si>
  <si>
    <t>Reports Direct</t>
  </si>
  <si>
    <t>2019-09-26T08:10:40.467Z</t>
  </si>
  <si>
    <t>http://dalptfs01:8080/tfs/BI/_apis/projects/03065872-3d6d-4093-8123-7c5ad241cb16</t>
  </si>
  <si>
    <t>03065872-3d6d-4093-8123-7c5ad241cb16</t>
  </si>
  <si>
    <t>Business Objects</t>
  </si>
  <si>
    <t>2019-09-26T08:10:40.84Z</t>
  </si>
  <si>
    <t>http://dalptfs01:8080/tfs/BI/_apis/projects/4aac9b7c-fed2-4f12-9456-c5842b4d096c</t>
  </si>
  <si>
    <t>4aac9b7c-fed2-4f12-9456-c5842b4d096c</t>
  </si>
  <si>
    <t>Project for SMat 8.2 upgrade</t>
  </si>
  <si>
    <t>CBI Mobile Apps</t>
  </si>
  <si>
    <t>MobileApps</t>
  </si>
  <si>
    <t>2019-09-26T08:27:58.873Z</t>
  </si>
  <si>
    <t>http://dalptfs01:8080/tfs/CBI Mobile Apps/_apis/projects/c4b15b76-596d-477b-bb18-c770513fd1f5</t>
  </si>
  <si>
    <t>http://dalptfs01:8080/tfs/_apis/projectCollections/a82d5569-f0fd-4445-92ef-e59fd4f03115</t>
  </si>
  <si>
    <t>a82d5569-f0fd-4445-92ef-e59fd4f03115</t>
  </si>
  <si>
    <t>c4b15b76-596d-477b-bb18-c770513fd1f5</t>
  </si>
  <si>
    <t>Database Team Projects</t>
  </si>
  <si>
    <t>ETS</t>
  </si>
  <si>
    <t>vranjan@mcdermott.com</t>
  </si>
  <si>
    <t>2019-09-26T08:08:18.153Z</t>
  </si>
  <si>
    <t>http://dalptfs01:8080/tfs/Database Team Projects/_apis/projects/721d5ef7-9aad-424a-a103-ffac3eb6bd5d</t>
  </si>
  <si>
    <t>http://dalptfs01:8080/tfs/_apis/projectCollections/dc5f8256-d72b-406d-834b-0f3df2906fe3</t>
  </si>
  <si>
    <t>dc5f8256-d72b-406d-834b-0f3df2906fe3</t>
  </si>
  <si>
    <t>721d5ef7-9aad-424a-a103-ffac3eb6bd5d</t>
  </si>
  <si>
    <t>This Project will serve as Repository for Enterprise Analytics Team</t>
  </si>
  <si>
    <t>PLM POC</t>
  </si>
  <si>
    <t>vranjan@mcdermott.com , nkumar6@mcdermott.com</t>
  </si>
  <si>
    <t>2019-09-26T08:08:14.857Z</t>
  </si>
  <si>
    <t>http://dalptfs01:8080/tfs/Database Team Projects/_apis/projects/8e6e5114-1e5e-482f-a966-4084aeec2637</t>
  </si>
  <si>
    <t>8e6e5114-1e5e-482f-a966-4084aeec2637</t>
  </si>
  <si>
    <t>MicrosoftReporting_POC</t>
  </si>
  <si>
    <t>2019-09-26T08:08:16.09Z</t>
  </si>
  <si>
    <t>http://dalptfs01:8080/tfs/Database Team Projects/_apis/projects/98dfa008-2185-41d5-a91e-b577a6b6dd71</t>
  </si>
  <si>
    <t>98dfa008-2185-41d5-a91e-b577a6b6dd71</t>
  </si>
  <si>
    <t>requested for storing DB files</t>
  </si>
  <si>
    <t>Demo</t>
  </si>
  <si>
    <t>DemoProject</t>
  </si>
  <si>
    <t>2019-09-26T08:01:43.123Z</t>
  </si>
  <si>
    <t>http://dalptfs01:8080/tfs/Demo/_apis/projects/db7bcc81-26dc-4e08-8002-717a99aa58ab</t>
  </si>
  <si>
    <t>http://dalptfs01:8080/tfs/_apis/projectCollections/b6d60cd4-baba-4754-87ea-a37cf5b20d5d</t>
  </si>
  <si>
    <t>b6d60cd4-baba-4754-87ea-a37cf5b20d5d</t>
  </si>
  <si>
    <t>db7bcc81-26dc-4e08-8002-717a99aa58ab</t>
  </si>
  <si>
    <t>Java Import 2</t>
  </si>
  <si>
    <t>2019-09-26T08:01:43.56Z</t>
  </si>
  <si>
    <t>http://dalptfs01:8080/tfs/Demo/_apis/projects/adcfff69-bba7-4301-9a36-f3239d648c3d</t>
  </si>
  <si>
    <t>adcfff69-bba7-4301-9a36-f3239d648c3d</t>
  </si>
  <si>
    <t>Java Import</t>
  </si>
  <si>
    <t>2019-09-26T08:01:43.81Z</t>
  </si>
  <si>
    <t>http://dalptfs01:8080/tfs/Demo/_apis/projects/5a3a1a6c-b5ac-4c5b-9cae-ecb5c0a30f1f</t>
  </si>
  <si>
    <t>5a3a1a6c-b5ac-4c5b-9cae-ecb5c0a30f1f</t>
  </si>
  <si>
    <t>Java Import 3</t>
  </si>
  <si>
    <t>2019-09-26T08:01:44.17Z</t>
  </si>
  <si>
    <t>http://dalptfs01:8080/tfs/Demo/_apis/projects/d6f92171-5d80-4e01-aeb9-8f9a9099155c</t>
  </si>
  <si>
    <t>d6f92171-5d80-4e01-aeb9-8f9a9099155c</t>
  </si>
  <si>
    <t>TEST2</t>
  </si>
  <si>
    <t>2019-09-26T08:01:42.653Z</t>
  </si>
  <si>
    <t>http://dalptfs01:8080/tfs/Demo/_apis/projects/48145964-6978-43c0-870c-ab2599b42cf8</t>
  </si>
  <si>
    <t>48145964-6978-43c0-870c-ab2599b42cf8</t>
  </si>
  <si>
    <t>Just a demo for checking performance of Plainfield-TFS1 from India</t>
  </si>
  <si>
    <t>Excel Services Check</t>
  </si>
  <si>
    <t>2019-09-26T08:01:43.327Z</t>
  </si>
  <si>
    <t>http://dalptfs01:8080/tfs/Demo/_apis/projects/b0a8e525-5888-48d9-8a79-5134917137a3</t>
  </si>
  <si>
    <t>b0a8e525-5888-48d9-8a79-5134917137a3</t>
  </si>
  <si>
    <t>Demo of New Process Template</t>
  </si>
  <si>
    <t>2019-09-26T08:01:44.607Z</t>
  </si>
  <si>
    <t>http://dalptfs01:8080/tfs/Demo/_apis/projects/d6329d4b-5d00-440f-88e4-cee4192dd2df</t>
  </si>
  <si>
    <t>d6329d4b-5d00-440f-88e4-cee4192dd2df</t>
  </si>
  <si>
    <t>CustomizationDemo</t>
  </si>
  <si>
    <t>2019-09-26T08:01:44.95Z</t>
  </si>
  <si>
    <t>http://dalptfs01:8080/tfs/Demo/_apis/projects/d4a02ca3-f353-4946-8111-4cbad471081d</t>
  </si>
  <si>
    <t>d4a02ca3-f353-4946-8111-4cbad471081d</t>
  </si>
  <si>
    <t>Digital and Analytics</t>
  </si>
  <si>
    <t>Saudi Aramco</t>
  </si>
  <si>
    <t>04/16/2024</t>
  </si>
  <si>
    <t>Bobbi / Cissy</t>
  </si>
  <si>
    <t>2024-04-16T15:44:49.757Z</t>
  </si>
  <si>
    <t>http://dalptfs01:8080/tfs/Digital and Analytics/_apis/projects/cd39417a-7784-42b1-8fba-3804b521b42a</t>
  </si>
  <si>
    <t>http://dalptfs01:8080/tfs/_apis/projectCollections/ef91b66f-6f30-43a5-a70e-7d8a3b723d45</t>
  </si>
  <si>
    <t>ef91b66f-6f30-43a5-a70e-7d8a3b723d45</t>
  </si>
  <si>
    <t>cd39417a-7784-42b1-8fba-3804b521b42a</t>
  </si>
  <si>
    <t>POC for Energy Transition Projects utilizing Aras PLM</t>
  </si>
  <si>
    <t>Engineering workhours prediction</t>
  </si>
  <si>
    <t>2024-04-16T15:33:53.83Z</t>
  </si>
  <si>
    <t>http://dalptfs01:8080/tfs/Digital and Analytics/_apis/projects/3f8febe8-856e-4381-b1e9-1621da0af7bc</t>
  </si>
  <si>
    <t>3f8febe8-856e-4381-b1e9-1621da0af7bc</t>
  </si>
  <si>
    <t>Smart MTO – Prediction</t>
  </si>
  <si>
    <t>2024-04-16T15:43:05.847Z</t>
  </si>
  <si>
    <t>http://dalptfs01:8080/tfs/Digital and Analytics/_apis/projects/8234e8a4-52d4-499e-92e0-0503d800699d</t>
  </si>
  <si>
    <t>8234e8a4-52d4-499e-92e0-0503d800699d</t>
  </si>
  <si>
    <t>The Instrument Tag Index application extracts instrument tags &amp; other relevant data from P&amp;IDs.  Business rules are applied to the extracted data to automatically populate an instrument index document. This app will help automate manual tasks that usually take weeks to complete.
The application extracts this information producing a:
- Downloadable excel file of the extracted information
- Display of the P&amp;IDs highlighting the identified instruments, which can also be downloaded as a PDF
 Milestones
V1.0 Release (20 December 2023)
V2.0 Release (4 April 2024)
V3.0 Release (15 Oct 2024)</t>
  </si>
  <si>
    <t>AI for Sustainability</t>
  </si>
  <si>
    <t>2024-04-16T15:37:18.267Z</t>
  </si>
  <si>
    <t>http://dalptfs01:8080/tfs/Digital and Analytics/_apis/projects/3f94ae76-4238-4150-a0f4-333536c6fa50</t>
  </si>
  <si>
    <t>3f94ae76-4238-4150-a0f4-333536c6fa50</t>
  </si>
  <si>
    <t>ARAS PLM</t>
  </si>
  <si>
    <t>03/16/2023</t>
  </si>
  <si>
    <t>Bobbi / Jamie Kobs</t>
  </si>
  <si>
    <t>2023-03-16T10:05:37.087Z</t>
  </si>
  <si>
    <t>http://dalptfs01:8080/tfs/Digital and Analytics/_apis/projects/d9a7eb53-e120-4b45-b526-ad49ffb02d51</t>
  </si>
  <si>
    <t>d9a7eb53-e120-4b45-b526-ad49ffb02d51</t>
  </si>
  <si>
    <t>Tennet 2GW Projects</t>
  </si>
  <si>
    <t>Global AI</t>
  </si>
  <si>
    <t>02/14/2023</t>
  </si>
  <si>
    <t>2023-02-14T08:43:54.763Z</t>
  </si>
  <si>
    <t>http://dalptfs01:8080/tfs/Digital and Analytics/_apis/projects/2fba1a51-1153-4491-87ad-cfe2a4e77298</t>
  </si>
  <si>
    <t>2fba1a51-1153-4491-87ad-cfe2a4e77298</t>
  </si>
  <si>
    <t>Risk and Hasbah</t>
  </si>
  <si>
    <t>02/17/2021</t>
  </si>
  <si>
    <t>Bobbi/Jamie Kobs</t>
  </si>
  <si>
    <t>2021-02-17T10:30:33.523Z</t>
  </si>
  <si>
    <t>http://dalptfs01:8080/tfs/Digital and Analytics/_apis/projects/adb9e098-22ae-4bcb-a747-2ee332db4d0a</t>
  </si>
  <si>
    <t>adb9e098-22ae-4bcb-a747-2ee332db4d0a</t>
  </si>
  <si>
    <t>Tennet 2GW</t>
  </si>
  <si>
    <t>02/12/2025</t>
  </si>
  <si>
    <t>Bobbi / Thomas Hulard</t>
  </si>
  <si>
    <t>Thomas.G.Hulard@mcdermott.com</t>
  </si>
  <si>
    <t>Mina.alimadad@mcdermott.com, richa.banotra@mcdermott.com, Thomas.G.Hulard@mcdermott.com</t>
  </si>
  <si>
    <t>Thomas Hulard confirmed to archive</t>
  </si>
  <si>
    <t>2025-02-12T10:35:39.74Z</t>
  </si>
  <si>
    <t>http://dalptfs01:8080/tfs/Digital and Analytics/_apis/projects/efbc3a75-c049-41f3-9ec1-b81ed506f6a3</t>
  </si>
  <si>
    <t>efbc3a75-c049-41f3-9ec1-b81ed506f6a3</t>
  </si>
  <si>
    <t>Piping report automation</t>
  </si>
  <si>
    <t>04/10/2025</t>
  </si>
  <si>
    <t>Bobbi/Thomas Hulard</t>
  </si>
  <si>
    <t>ATavallali2@mcdermott.com</t>
  </si>
  <si>
    <t>bparkis@mcdermott.com ,richa.banotra@mcdermott.com, Thomas.G.Hulard@mcdermott.com</t>
  </si>
  <si>
    <t>2025-04-10T15:34:07.9Z</t>
  </si>
  <si>
    <t>http://dalptfs01:8080/tfs/Digital and Analytics/_apis/projects/5a3d6a0a-a56d-4638-aaea-657b3fd20aa3</t>
  </si>
  <si>
    <t>5a3d6a0a-a56d-4638-aaea-657b3fd20aa3</t>
  </si>
  <si>
    <t>To develop Hasbah and Risk value enhancement requirement in PLM application</t>
  </si>
  <si>
    <t>Indexify</t>
  </si>
  <si>
    <t>02/20/2025</t>
  </si>
  <si>
    <t>Vasil.Shteriyanov@mcdermott.com , Daniel.Yanezdiaz@mcdermott.com</t>
  </si>
  <si>
    <t>2025-02-20T14:48:30.8Z</t>
  </si>
  <si>
    <t>http://dalptfs01:8080/tfs/Digital and Analytics/_apis/projects/0396d043-007d-4175-b8f4-ed9d917f22a1</t>
  </si>
  <si>
    <t>0396d043-007d-4175-b8f4-ed9d917f22a1</t>
  </si>
  <si>
    <t>AI Initiative for Engineering</t>
  </si>
  <si>
    <t>ReCo Tool - PandID</t>
  </si>
  <si>
    <t>bparkis@mcdermott.com richa.banotra@mcdermott.com, Thomas.G.Hulard@mcdermott.com</t>
  </si>
  <si>
    <t>2024-04-16T15:39:58.967Z</t>
  </si>
  <si>
    <t>http://dalptfs01:8080/tfs/Digital and Analytics/_apis/projects/c3ac98f5-a854-44c4-9bd4-d7a3f1bcd90c</t>
  </si>
  <si>
    <t>c3ac98f5-a854-44c4-9bd4-d7a3f1bcd90c</t>
  </si>
  <si>
    <t>Line List</t>
  </si>
  <si>
    <t>10/22/2024</t>
  </si>
  <si>
    <t>bparkis@mcdermott.com richa.banotra@mcdermott.com, Kyle.Versteeg@mcdermott.com</t>
  </si>
  <si>
    <t>2024-10-22T12:01:19.55Z</t>
  </si>
  <si>
    <t>http://dalptfs01:8080/tfs/Digital and Analytics/_apis/projects/287d8b3b-a4db-4a52-9d56-affba00278c2</t>
  </si>
  <si>
    <t>287d8b3b-a4db-4a52-9d56-affba00278c2</t>
  </si>
  <si>
    <t>SmartStruct</t>
  </si>
  <si>
    <t>11/13/2024</t>
  </si>
  <si>
    <t>2024-11-13T20:24:20.88Z</t>
  </si>
  <si>
    <t>http://dalptfs01:8080/tfs/Digital and Analytics/_apis/projects/817f14f1-2ae2-4e5c-aa59-81cb28f76e85</t>
  </si>
  <si>
    <t>817f14f1-2ae2-4e5c-aa59-81cb28f76e85</t>
  </si>
  <si>
    <t>Checking of Isometrics</t>
  </si>
  <si>
    <t>ReCo Tool – Isometrics</t>
  </si>
  <si>
    <t>07/30/2024</t>
  </si>
  <si>
    <t>Nikhil.Singhi@mcdermott.com</t>
  </si>
  <si>
    <t>2024-07-30T07:52:44.977Z</t>
  </si>
  <si>
    <t>http://dalptfs01:8080/tfs/Digital and Analytics/_apis/projects/a040a3fc-78b8-43a3-bd4e-95151bf12d42</t>
  </si>
  <si>
    <t>a040a3fc-78b8-43a3-bd4e-95151bf12d42</t>
  </si>
  <si>
    <t>Smart MTO</t>
  </si>
  <si>
    <t>11/12/2024</t>
  </si>
  <si>
    <t>2024-11-12T15:18:22.6Z</t>
  </si>
  <si>
    <t>http://dalptfs01:8080/tfs/Digital and Analytics/_apis/projects/542d0ab9-4034-4bec-a515-421d0c45e893</t>
  </si>
  <si>
    <t>542d0ab9-4034-4bec-a515-421d0c45e893</t>
  </si>
  <si>
    <t>for PLM POC Git</t>
  </si>
  <si>
    <t>Digital Technology</t>
  </si>
  <si>
    <t>Unifi Mobile</t>
  </si>
  <si>
    <t>03/06/2025</t>
  </si>
  <si>
    <t>Kanak Ranade</t>
  </si>
  <si>
    <t>Already in Digital &amp; AI ADO</t>
  </si>
  <si>
    <t>2025-03-06T05:18:04.29Z</t>
  </si>
  <si>
    <t>http://dalptfs01:8080/tfs/Digital Technology/_apis/projects/ae4f8bd9-9076-4cbf-b737-bc46e8ff73a7</t>
  </si>
  <si>
    <t>http://dalptfs01:8080/tfs/_apis/projectCollections/cbf9ce94-9dbc-4442-861f-1d65d0d6d78d</t>
  </si>
  <si>
    <t>cbf9ce94-9dbc-4442-861f-1d65d0d6d78d</t>
  </si>
  <si>
    <t>ae4f8bd9-9076-4cbf-b737-bc46e8ff73a7</t>
  </si>
  <si>
    <t>PED</t>
  </si>
  <si>
    <t>02/13/2025</t>
  </si>
  <si>
    <t>2025-02-13T08:47:57.26Z</t>
  </si>
  <si>
    <t>http://dalptfs01:8080/tfs/Digital Technology/_apis/projects/69c62bdf-003d-4155-bac2-a665ab17e62b</t>
  </si>
  <si>
    <t>69c62bdf-003d-4155-bac2-a665ab17e62b</t>
  </si>
  <si>
    <t>Reco Tool for ISO</t>
  </si>
  <si>
    <t>10/28/2024</t>
  </si>
  <si>
    <t>2024-10-28T10:21:54.63Z</t>
  </si>
  <si>
    <t>http://dalptfs01:8080/tfs/Digital Technology/_apis/projects/3567c863-52cc-4e29-9c15-e1fede6687c7</t>
  </si>
  <si>
    <t>3567c863-52cc-4e29-9c15-e1fede6687c7</t>
  </si>
  <si>
    <t>Safety &amp; Environment Monitoring System</t>
  </si>
  <si>
    <t>SmartMTO</t>
  </si>
  <si>
    <t>11/11/2024</t>
  </si>
  <si>
    <t>2024-11-11T12:24:09.213Z</t>
  </si>
  <si>
    <t>http://dalptfs01:8080/tfs/Digital Technology/_apis/projects/1cea171a-5fe0-4e87-a43e-267f53f5cfe2</t>
  </si>
  <si>
    <t>1cea171a-5fe0-4e87-a43e-267f53f5cfe2</t>
  </si>
  <si>
    <t>App for all the Yards to be accessed on Kiosk</t>
  </si>
  <si>
    <t>TTL-Executive</t>
  </si>
  <si>
    <t>06/14/2023</t>
  </si>
  <si>
    <t>2023-06-14T11:35:47.98Z</t>
  </si>
  <si>
    <t>http://dalptfs01:8080/tfs/Digital Technology/_apis/projects/44dda0b1-e929-4b93-adb1-18010fc217f5</t>
  </si>
  <si>
    <t>44dda0b1-e929-4b93-adb1-18010fc217f5</t>
  </si>
  <si>
    <t>TTLConnect</t>
  </si>
  <si>
    <t>07/19/2023</t>
  </si>
  <si>
    <t>2023-07-19T11:23:15.26Z</t>
  </si>
  <si>
    <t>http://dalptfs01:8080/tfs/Digital Technology/_apis/projects/5b52cb3b-8a18-4730-888a-a193db2c3684</t>
  </si>
  <si>
    <t>5b52cb3b-8a18-4730-888a-a193db2c3684</t>
  </si>
  <si>
    <t>HDMS</t>
  </si>
  <si>
    <t>01/09/2025</t>
  </si>
  <si>
    <t>kranade@mcdermott.com; smaske@mcdermott.com</t>
  </si>
  <si>
    <t>kranade@mcdermott.com</t>
  </si>
  <si>
    <t>2025-01-09T09:09:45.803Z</t>
  </si>
  <si>
    <t>http://dalptfs01:8080/tfs/Digital Technology/_apis/projects/49827a3f-e22e-4251-8298-523a61418dac</t>
  </si>
  <si>
    <t>49827a3f-e22e-4251-8298-523a61418dac</t>
  </si>
  <si>
    <t>POC</t>
  </si>
  <si>
    <t>01/16/2025</t>
  </si>
  <si>
    <t>HMajmudar@mcdermott.com</t>
  </si>
  <si>
    <t>kranade@mcdermott.com; Pankaj.Jadhav2@mcdermott.com; jsangram@mcdermott.com; Suraj.Jagtap@mcdermott.com; Mansi.Kulkarni@mcdermott.com; ; Yogesh.Lipane@mcdermott.com; HMajmudar@mcdermott.com; smaske@mcdermott.com; Pratik.Sawant@mcdermott.com; wKprasad@mcdermott.com</t>
  </si>
  <si>
    <t>2025-01-16T07:36:52.777Z</t>
  </si>
  <si>
    <t>http://dalptfs01:8080/tfs/Digital Technology/_apis/projects/eeab1192-3d93-40ea-af6b-2dc8d853ce2c</t>
  </si>
  <si>
    <t>eeab1192-3d93-40ea-af6b-2dc8d853ce2c</t>
  </si>
  <si>
    <t>03/11/2025</t>
  </si>
  <si>
    <t>Pratik.Sawant@mcdermott.com: kranade@mcdermott.com; smaske@mcdermott.com</t>
  </si>
  <si>
    <t>kranade@mcdermott.com; RDzhusupova@mcdermott.com; Thomas.G.Hulard@mcdermott.com;  wKprasad@mcdermott.com; Mina.alimadad@mcdermott.com</t>
  </si>
  <si>
    <t>2025-03-11T09:50:34.127Z</t>
  </si>
  <si>
    <t>http://dalptfs01:8080/tfs/Digital Technology/_apis/projects/4d2139fa-bb23-45d9-b739-e9bfd568c7f8</t>
  </si>
  <si>
    <t>4d2139fa-bb23-45d9-b739-e9bfd568c7f8</t>
  </si>
  <si>
    <t>SDR</t>
  </si>
  <si>
    <t>Nagnath.Mungade@mcdermott.com: Nagnath.Mungade@mcdermott.com</t>
  </si>
  <si>
    <t>2025-01-09T09:08:15.64Z</t>
  </si>
  <si>
    <t>http://dalptfs01:8080/tfs/Digital Technology/_apis/projects/7510f4fe-ce29-4740-8647-8eb5547bdd5c</t>
  </si>
  <si>
    <t>7510f4fe-ce29-4740-8647-8eb5547bdd5c</t>
  </si>
  <si>
    <t>Digital DPR</t>
  </si>
  <si>
    <t>01/21/2025</t>
  </si>
  <si>
    <t>Yogesh.Lipane@mcdermott.com , wKprasad@mcdermott.com</t>
  </si>
  <si>
    <t>kranade@mcdermott.com; Mansi.Kulkarni@mcdermott.com; Yogesh.Lipane@mcdermott.com; smaske@mcdermott.com; wKprasad@mcdermott.com</t>
  </si>
  <si>
    <t>2025-01-21T05:39:02.497Z</t>
  </si>
  <si>
    <t>http://dalptfs01:8080/tfs/Digital Technology/_apis/projects/37b10f0a-5aa4-4397-9c82-25fdae4ed53f</t>
  </si>
  <si>
    <t>37b10f0a-5aa4-4397-9c82-25fdae4ed53f</t>
  </si>
  <si>
    <t>SCM Price Metrics</t>
  </si>
  <si>
    <t>05/22/2024</t>
  </si>
  <si>
    <t xml:space="preserve">Pankaj.Jadhav2@mcdermott.com, </t>
  </si>
  <si>
    <t>kranade@mcdermott.com smaske@mcdermott.com</t>
  </si>
  <si>
    <t>2024-05-22T06:32:28.92Z</t>
  </si>
  <si>
    <t>http://dalptfs01:8080/tfs/Digital Technology/_apis/projects/137fd706-7742-411e-9559-e48d053e71e1</t>
  </si>
  <si>
    <t>137fd706-7742-411e-9559-e48d053e71e1</t>
  </si>
  <si>
    <t>RPS</t>
  </si>
  <si>
    <t>08/28/2024</t>
  </si>
  <si>
    <t>kranade@mcdermott.com; wKprasad@mcdermott.com</t>
  </si>
  <si>
    <t>2024-08-28T10:28:09.12Z</t>
  </si>
  <si>
    <t>http://dalptfs01:8080/tfs/Digital Technology/_apis/projects/e822fcf1-5625-4aee-a83d-279aade7f41c</t>
  </si>
  <si>
    <t>e822fcf1-5625-4aee-a83d-279aade7f41c</t>
  </si>
  <si>
    <t>Finance Space</t>
  </si>
  <si>
    <t>08/26/2024</t>
  </si>
  <si>
    <t>kranade@mcdermott.com; Suraj.Jagtap@mcdermott.com; Vishal.Kudale@mcdermott.com; Pankaj.Jadhav2@mcdermott.com; HMajmudar@mcdermott.com; smaske@mcdermott.com; Rohit.Soni@mcdermott.com; Pratik.Sawant@mcdermott.com; Rathi.T@mcdermott.com; wKprasad@mcdermott.com</t>
  </si>
  <si>
    <t>2024-08-26T06:38:30.36Z</t>
  </si>
  <si>
    <t>http://dalptfs01:8080/tfs/Digital Technology/_apis/projects/6428817b-dec8-4618-ab2b-24369b73f5e2</t>
  </si>
  <si>
    <t>6428817b-dec8-4618-ab2b-24369b73f5e2</t>
  </si>
  <si>
    <t>ML-Pipeline</t>
  </si>
  <si>
    <t>11/04/2024</t>
  </si>
  <si>
    <t xml:space="preserve">kranade@mcdermott.com Rohit.Soni@mcdermott.com; wKprasad@mcdermott.com
</t>
  </si>
  <si>
    <t>2024-11-04T10:14:50.153Z</t>
  </si>
  <si>
    <t>http://dalptfs01:8080/tfs/Digital Technology/_apis/projects/8310f484-4e0b-440f-9f93-6a295164e6e7</t>
  </si>
  <si>
    <t>8310f484-4e0b-440f-9f93-6a295164e6e7</t>
  </si>
  <si>
    <t>AssetsXD - BATAM</t>
  </si>
  <si>
    <t>07/10/2024</t>
  </si>
  <si>
    <t>Yogesh.Lipane@mcdermott.com</t>
  </si>
  <si>
    <t>kranade@mcdermott.com; Yogesh.Lipane@mcdermott.com; Nagnath.Mungade@mcdermott.com</t>
  </si>
  <si>
    <t>2024-07-10T08:36:28.713Z</t>
  </si>
  <si>
    <t>http://dalptfs01:8080/tfs/Digital Technology/_apis/projects/61a35d4d-855e-4b90-8d7c-4fe6a008603c</t>
  </si>
  <si>
    <t>61a35d4d-855e-4b90-8d7c-4fe6a008603c</t>
  </si>
  <si>
    <t>AI ML Portal</t>
  </si>
  <si>
    <t>10/09/2024</t>
  </si>
  <si>
    <t>kranade@mcdermott.com Pankaj.Jadhav2@mcdermott.com; Suraj.Jagtap@mcdermott.com; Vishal.Kudale@mcdermott.com; Yogesh.Lipane@mcdermott.com; HMajmudar@mcdermott.com;smaske@mcdermott.com; Pratik.Sawant@mcdermott.com; Manohar.Vare@mcdermott.com; wKprasad@mcdermott.com</t>
  </si>
  <si>
    <t>2024-10-09T12:36:53.483Z</t>
  </si>
  <si>
    <t>http://dalptfs01:8080/tfs/Digital Technology/_apis/projects/411e7705-2b92-42ea-b741-c76970978d10</t>
  </si>
  <si>
    <t>411e7705-2b92-42ea-b741-c76970978d10</t>
  </si>
  <si>
    <t>McDermott ChatGPT V2</t>
  </si>
  <si>
    <t>10/04/2024</t>
  </si>
  <si>
    <t>kranade@mcdermott.com wKprasad@mcdermott.com; smaske@mcdermott.com; Rathi.T@mcdermott.com; Suraj.Jagtap@mcdermott.com</t>
  </si>
  <si>
    <t>2024-10-04T07:10:25.657Z</t>
  </si>
  <si>
    <t>http://dalptfs01:8080/tfs/Digital Technology/_apis/projects/5a1bf6e5-0b5b-4c4d-bc40-95ad3435db91</t>
  </si>
  <si>
    <t>5a1bf6e5-0b5b-4c4d-bc40-95ad3435db91</t>
  </si>
  <si>
    <t>Linelist Automation</t>
  </si>
  <si>
    <t>kranade@mcdermott.com; nbalaji2@mcdermott.com; Suraj.Jagtap@mcdermott.com; HMajmudar@mcdermott.com; smaske@mcdermott.com Pratik.Sawant@mcdermott.com; Rathi.T@mcdermott.com wKprasad@mcdermott.com</t>
  </si>
  <si>
    <t>2024-07-10T11:05:44.93Z</t>
  </si>
  <si>
    <t>http://dalptfs01:8080/tfs/Digital Technology/_apis/projects/74914dda-5440-4d9d-a097-f92eabf767e2</t>
  </si>
  <si>
    <t>74914dda-5440-4d9d-a097-f92eabf767e2</t>
  </si>
  <si>
    <t>InfoWiz</t>
  </si>
  <si>
    <t>05/27/2024</t>
  </si>
  <si>
    <t>wKprasad@mcdermott.com</t>
  </si>
  <si>
    <t>kranade@mcdermott.com; smaske@mcdermott.com; wKprasad@mcdermott.com</t>
  </si>
  <si>
    <t>2024-05-27T11:18:18.89Z</t>
  </si>
  <si>
    <t>http://dalptfs01:8080/tfs/Digital Technology/_apis/projects/55dff8d5-3631-41e6-8f2d-86e118458c0d</t>
  </si>
  <si>
    <t>55dff8d5-3631-41e6-8f2d-86e118458c0d</t>
  </si>
  <si>
    <t>Azure DevOps Workshop held on 28 Aug 2023</t>
  </si>
  <si>
    <t>IoT Projects</t>
  </si>
  <si>
    <t>02/06/2024</t>
  </si>
  <si>
    <t>kranade@mcdermott.com; Deepak.Dange@mcdermott.com; Suraj.Jagtap@mcdermott.com; Mansi.Kulkarni@mcdermott.com; Yogesh.Lipane@mcdermott.com;  HMajmudar@mcdermott.com; smaske@mcdermott.com; wKprasad@mcdermott.com</t>
  </si>
  <si>
    <t>2024-02-06T08:11:06.863Z</t>
  </si>
  <si>
    <t>http://dalptfs01:8080/tfs/Digital Technology/_apis/projects/ddd80573-8683-47f8-bab6-a0111d84a263</t>
  </si>
  <si>
    <t>ddd80573-8683-47f8-bab6-a0111d84a263</t>
  </si>
  <si>
    <t>SubseaXD</t>
  </si>
  <si>
    <t>02/22/2024</t>
  </si>
  <si>
    <t>kranade@mcdermott.com; Mansi.Kulkarni@mcdermott.com; Yogesh.Lipane@mcdermott.com;  Nagnath.Mungade@mcdermott.com</t>
  </si>
  <si>
    <t>2024-02-22T08:49:41.983Z</t>
  </si>
  <si>
    <t>http://dalptfs01:8080/tfs/Digital Technology/_apis/projects/cc703462-be55-4590-931f-7cdfa51e5a59</t>
  </si>
  <si>
    <t>cc703462-be55-4590-931f-7cdfa51e5a59</t>
  </si>
  <si>
    <t>Change Requests</t>
  </si>
  <si>
    <t>09/19/2024</t>
  </si>
  <si>
    <t>kranade@mcdermott.com; Deepak.Dange@mcdermott.com; Yogesh.Lipane@mcdermott.com; HMajmudar@mcdermott.com; smaske@mcdermott.com; varun.varun@mcdermott.com; jsangram@mcdermott.com</t>
  </si>
  <si>
    <t>2024-09-19T08:55:27.45Z</t>
  </si>
  <si>
    <t>http://dalptfs01:8080/tfs/Digital Technology/_apis/projects/22dbdb96-a8ca-4ae0-bfa0-9bbf6af66f8f</t>
  </si>
  <si>
    <t>22dbdb96-a8ca-4ae0-bfa0-9bbf6af66f8f</t>
  </si>
  <si>
    <t>Instrument Index</t>
  </si>
  <si>
    <t>ArborXD</t>
  </si>
  <si>
    <t>08/06/2024</t>
  </si>
  <si>
    <t>2024-08-06T03:58:17.49Z</t>
  </si>
  <si>
    <t>http://dalptfs01:8080/tfs/Digital Technology/_apis/projects/ca251751-4a17-46f5-aa00-a37f24d01ab4</t>
  </si>
  <si>
    <t>ca251751-4a17-46f5-aa00-a37f24d01ab4</t>
  </si>
  <si>
    <t>AI-ML POC</t>
  </si>
  <si>
    <t>12/11/2024</t>
  </si>
  <si>
    <t>kranade@mcdermott.com; RDzhusupova@mcdermott.com; Thomas.G.Hulard@mcdermott.com; Suraj.Jagtap@mcdermott.com; Mansi.Kulkarni@mcdermott.com; Manish.Kumawat@mcdermott.com; Yogesh.Lipane@mcdermott.com; HMajmudar@mcdermott.com; smaske@mcdermott.com; Pratik.Sawant@mcdermott.com; Manohar.Vare@mcdermott.com; wKprasad@mcdermott.com; Mina.alimadad@mcdermott.com</t>
  </si>
  <si>
    <t>2024-12-11T10:12:08.49Z</t>
  </si>
  <si>
    <t>http://dalptfs01:8080/tfs/Digital Technology/_apis/projects/2622c35e-64bc-4d11-979e-6e768477325a</t>
  </si>
  <si>
    <t>2622c35e-64bc-4d11-979e-6e768477325a</t>
  </si>
  <si>
    <t>AI ML Deployment</t>
  </si>
  <si>
    <t>10/16/2024</t>
  </si>
  <si>
    <t>smaske@mcdermott.com</t>
  </si>
  <si>
    <t>kranade@mcdermott.com; Narahari.Bangaru@mcdermott.com; Thomas.G.Hulard@mcdermott.com; Manish.Kumawat@mcdermott.com; Nasir.Majeed@mcdermott.com; smaske@mcdermott.com; wKprasad@mcdermott.com; Mina.alimadad@mcdermott.com</t>
  </si>
  <si>
    <t>2024-10-16T07:24:08.767Z</t>
  </si>
  <si>
    <t>http://dalptfs01:8080/tfs/Digital Technology/_apis/projects/92716394-54bd-45f3-aa04-f587a057032a</t>
  </si>
  <si>
    <t>92716394-54bd-45f3-aa04-f587a057032a</t>
  </si>
  <si>
    <t>SubseaXD - ExxonMobil</t>
  </si>
  <si>
    <t>02/27/2024</t>
  </si>
  <si>
    <t>2024-02-27T14:08:21.253Z</t>
  </si>
  <si>
    <t>http://dalptfs01:8080/tfs/Digital Technology/_apis/projects/4660686d-ecba-48e0-a6c2-9d592bb26dd0</t>
  </si>
  <si>
    <t>4660686d-ecba-48e0-a6c2-9d592bb26dd0</t>
  </si>
  <si>
    <t>Reco Tool for PnID</t>
  </si>
  <si>
    <t>09/25/2024</t>
  </si>
  <si>
    <t>kranade@mcdermott.com; RDzhusupova@mcdermott.com; Thomas.G.Hulard@mcdermott.com; Suraj.Jagtap@mcdermott.com; Mansi.Kulkarni@mcdermott.com; Douglas.Leidgen@mcdermott.com;  smaske@mcdermott.com; Pratik.Sawant@mcdermott.com; Rathi.T@mcdermott.com; wKprasad@mcdermott.com; Mina.alimadad@mcdermott.com</t>
  </si>
  <si>
    <t>2024-09-25T04:52:45.037Z</t>
  </si>
  <si>
    <t>http://dalptfs01:8080/tfs/Digital Technology/_apis/projects/dacfbe23-1f81-41e8-aa01-8797109caf89</t>
  </si>
  <si>
    <t>dacfbe23-1f81-41e8-aa01-8797109caf89</t>
  </si>
  <si>
    <t>ProjectsXD</t>
  </si>
  <si>
    <t>04/02/2024</t>
  </si>
  <si>
    <t>kranade@mcdermott.com; Pankaj.Jadhav2@mcdermott.com; sranganathan@mcdermott.com; wKprasad@mcdermott.com</t>
  </si>
  <si>
    <t>2024-04-02T04:53:29.07Z</t>
  </si>
  <si>
    <t>http://dalptfs01:8080/tfs/Digital Technology/_apis/projects/e54abb53-0cff-4611-8add-a2c7caf4282d</t>
  </si>
  <si>
    <t>e54abb53-0cff-4611-8add-a2c7caf4282d</t>
  </si>
  <si>
    <t>WAPS</t>
  </si>
  <si>
    <t>10/29/2024</t>
  </si>
  <si>
    <t>kranade@mcdermott.com; Pankaj.Jadhav2@mcdermott.com; wKprasad@mcdermott.com</t>
  </si>
  <si>
    <t>2024-10-29T10:08:34.07Z</t>
  </si>
  <si>
    <t>http://dalptfs01:8080/tfs/Digital Technology/_apis/projects/4802b98f-2239-4ebd-bf7a-2570a8ff8e9c</t>
  </si>
  <si>
    <t>4802b98f-2239-4ebd-bf7a-2570a8ff8e9c</t>
  </si>
  <si>
    <t>HR Prediction</t>
  </si>
  <si>
    <t>10/10/2024</t>
  </si>
  <si>
    <t>kranade@mcdermott.com; Vishal.Kudale@mcdermott.com; Suraj.Jagtap@mcdermott.com; Mansi.Kulkarni@mcdermott.com; HMajmudar@mcdermott.com;  smaske@mcdermott.com; Pratik.Sawant@mcdermott.com; Manohar.Vare@mcdermott.com; wKprasad@mcdermott.com</t>
  </si>
  <si>
    <t>2024-10-10T06:11:55.57Z</t>
  </si>
  <si>
    <t>http://dalptfs01:8080/tfs/Digital Technology/_apis/projects/f57f32b2-6658-4fb1-b7e4-c4b68d506f1b</t>
  </si>
  <si>
    <t>f57f32b2-6658-4fb1-b7e4-c4b68d506f1b</t>
  </si>
  <si>
    <t>DigiForms</t>
  </si>
  <si>
    <t>09/23/2024</t>
  </si>
  <si>
    <t>2024-09-23T05:10:22.88Z</t>
  </si>
  <si>
    <t>http://dalptfs01:8080/tfs/Digital Technology/_apis/projects/5b255ca3-f8a8-4626-9bb8-c274647ad951</t>
  </si>
  <si>
    <t>5b255ca3-f8a8-4626-9bb8-c274647ad951</t>
  </si>
  <si>
    <t>Kiosk App</t>
  </si>
  <si>
    <t>03/21/2024</t>
  </si>
  <si>
    <t>kranade@mcdermott.com, HMajmudar@mcdermott.com</t>
  </si>
  <si>
    <t>2024-03-21T08:54:11.113Z</t>
  </si>
  <si>
    <t>http://dalptfs01:8080/tfs/Digital Technology/_apis/projects/2c123fc3-5374-4bc4-ab37-157dc65da418</t>
  </si>
  <si>
    <t>2c123fc3-5374-4bc4-ab37-157dc65da418</t>
  </si>
  <si>
    <t>TrainingMatrix</t>
  </si>
  <si>
    <t>2023-06-14T11:41:31.99Z</t>
  </si>
  <si>
    <t>http://dalptfs01:8080/tfs/Digital Technology/_apis/projects/c0eb5012-e6ac-49e6-9e77-c61d201cb84e</t>
  </si>
  <si>
    <t>c0eb5012-e6ac-49e6-9e77-c61d201cb84e</t>
  </si>
  <si>
    <t>Azure DevOps Workshop</t>
  </si>
  <si>
    <t>08/29/2023</t>
  </si>
  <si>
    <t>kranade@mcdermott.com; Deepak.Dange@mcdermott.com; hgaba@mcdermott.com; Pankaj.Jadhav2@mcdermott.com; jsangram@mcdermott.com; Mansi.Kulkarni@mcdermott.com; Yogesh.Lipane@mcdermott.com; HMajmudar@mcdermott.com; smaske@mcdermott.com; kranade@mcdermott.com; sranganathan@mcdermott.com; Rohit.Soni@mcdermott.com; Sachin.Todkar@mcdermott.com; wKprasad@mcdermott.com</t>
  </si>
  <si>
    <t>2023-08-29T06:54:44.303Z</t>
  </si>
  <si>
    <t>http://dalptfs01:8080/tfs/Digital Technology/_apis/projects/212dc0cb-284d-41ed-bc71-fd4d7fbdea4a</t>
  </si>
  <si>
    <t>212dc0cb-284d-41ed-bc71-fd4d7fbdea4a</t>
  </si>
  <si>
    <t>Azure DevOps Workshop Agile Project</t>
  </si>
  <si>
    <t>kranade@mcdermott.com; ; hgaba@mcdermott.com; Pankaj.Jadhav2@mcdermott.com; jsangram@mcdermott.com; Mansi.Kulkarni@mcdermott.com; Yogesh.Lipane@mcdermott.com; HMajmudar@mcdermott.com; smaske@mcdermott.com; kranade@mcdermott.com; sranganathan@mcdermott.com; Rohit.Soni@mcdermott.com; Sachin.Todkar@mcdermott.com; wKprasad@mcdermott.com</t>
  </si>
  <si>
    <t>2023-08-29T09:29:20.647Z</t>
  </si>
  <si>
    <t>http://dalptfs01:8080/tfs/Digital Technology/_apis/projects/7c064c0e-60f5-4d9b-a542-64a6bc6b9f07</t>
  </si>
  <si>
    <t>7c064c0e-60f5-4d9b-a542-64a6bc6b9f07</t>
  </si>
  <si>
    <t>All code for iDocsXD</t>
  </si>
  <si>
    <t>EDMS</t>
  </si>
  <si>
    <t>Seamless Transfer</t>
  </si>
  <si>
    <t>Whitney</t>
  </si>
  <si>
    <t>whitney.thomas@mcdermott.com, DocumentumAdmins@mcdermott.com</t>
  </si>
  <si>
    <t>These were developed and used on the AP1000 Nuclear Power Plant project that was done by SHAW / CBI companies.  These were turned over to Westinghouse during the divesture just after CBI acquired SHAW</t>
  </si>
  <si>
    <t>2019-09-26T08:24:24.53Z</t>
  </si>
  <si>
    <t>http://dalptfs01:8080/tfs/EDMS/_apis/projects/a33e7f33-5dde-4eb9-8d55-69ec2d211acd</t>
  </si>
  <si>
    <t>http://dalptfs01:8080/tfs/_apis/projectCollections/9d69bac3-44ab-4c56-982d-fa7bfc781f7e</t>
  </si>
  <si>
    <t>9d69bac3-44ab-4c56-982d-fa7bfc781f7e</t>
  </si>
  <si>
    <t>a33e7f33-5dde-4eb9-8d55-69ec2d211acd</t>
  </si>
  <si>
    <t>RFI</t>
  </si>
  <si>
    <t>2019-09-26T08:24:24.45Z</t>
  </si>
  <si>
    <t>http://dalptfs01:8080/tfs/EDMS/_apis/projects/cd28431e-5cb9-48cb-ac29-154a9965926f</t>
  </si>
  <si>
    <t>cd28431e-5cb9-48cb-ac29-154a9965926f</t>
  </si>
  <si>
    <t>Set 1 &amp; Set 2 Source Code from Trinity</t>
  </si>
  <si>
    <t>N_D</t>
  </si>
  <si>
    <t>2019-09-26T08:24:24.59Z</t>
  </si>
  <si>
    <t>http://dalptfs01:8080/tfs/EDMS/_apis/projects/a246fbab-5ae4-4bbe-a68c-5846d77329fc</t>
  </si>
  <si>
    <t>a246fbab-5ae4-4bbe-a68c-5846d77329fc</t>
  </si>
  <si>
    <t>DMW</t>
  </si>
  <si>
    <t>2019-09-26T08:24:24.717Z</t>
  </si>
  <si>
    <t>http://dalptfs01:8080/tfs/EDMS/_apis/projects/99c6206d-5047-4af1-ae75-7adfaf41d3f9</t>
  </si>
  <si>
    <t>99c6206d-5047-4af1-ae75-7adfaf41d3f9</t>
  </si>
  <si>
    <t>iShare</t>
  </si>
  <si>
    <t>2019-09-26T08:24:24.64Z</t>
  </si>
  <si>
    <t>http://dalptfs01:8080/tfs/EDMS/_apis/projects/a2599348-03df-41e7-9bc5-0ea13f5fda70</t>
  </si>
  <si>
    <t>a2599348-03df-41e7-9bc5-0ea13f5fda70</t>
  </si>
  <si>
    <t>Daily Maintenance Workflow</t>
  </si>
  <si>
    <t>WebParts</t>
  </si>
  <si>
    <t>2019-09-26T08:24:24.78Z</t>
  </si>
  <si>
    <t>http://dalptfs01:8080/tfs/EDMS/_apis/projects/b8228523-68e9-4d35-8883-63bdce22e108</t>
  </si>
  <si>
    <t>b8228523-68e9-4d35-8883-63bdce22e108</t>
  </si>
  <si>
    <t>xCP</t>
  </si>
  <si>
    <t>2019-09-26T08:24:24.827Z</t>
  </si>
  <si>
    <t>http://dalptfs01:8080/tfs/EDMS/_apis/projects/1e01636a-28d6-455b-b258-8ba9f325313f</t>
  </si>
  <si>
    <t>1e01636a-28d6-455b-b258-8ba9f325313f</t>
  </si>
  <si>
    <t>CWP project for tracking all issues found, resolved, and published by Shaw or any other 3rd parties (TT)</t>
  </si>
  <si>
    <t>CWP</t>
  </si>
  <si>
    <t>2019-09-26T08:24:24.903Z</t>
  </si>
  <si>
    <t>http://dalptfs01:8080/tfs/EDMS/_apis/projects/d7bb335e-3087-4fa5-a2c6-24acc228b5b0</t>
  </si>
  <si>
    <t>d7bb335e-3087-4fa5-a2c6-24acc228b5b0</t>
  </si>
  <si>
    <t>SharePoint Development Framework - Old and current versions.</t>
  </si>
  <si>
    <t>SDF</t>
  </si>
  <si>
    <t>2019-09-26T08:24:24.95Z</t>
  </si>
  <si>
    <t>http://dalptfs01:8080/tfs/EDMS/_apis/projects/47faeef1-0b3b-4115-b1a0-bb70603e2fd1</t>
  </si>
  <si>
    <t>47faeef1-0b3b-4115-b1a0-bb70603e2fd1</t>
  </si>
  <si>
    <t>SharePoint</t>
  </si>
  <si>
    <t>2019-09-26T08:24:25.013Z</t>
  </si>
  <si>
    <t>http://dalptfs01:8080/tfs/EDMS/_apis/projects/789a9f3e-d6a1-47b7-a308-b20ee2d1c608</t>
  </si>
  <si>
    <t>789a9f3e-d6a1-47b7-a308-b20ee2d1c608</t>
  </si>
  <si>
    <t>Watermarking</t>
  </si>
  <si>
    <t>2019-09-26T08:24:25.28Z</t>
  </si>
  <si>
    <t>http://dalptfs01:8080/tfs/EDMS/_apis/projects/3032edb9-a1f8-4038-aeba-ab86992f81c4</t>
  </si>
  <si>
    <t>3032edb9-a1f8-4038-aeba-ab86992f81c4</t>
  </si>
  <si>
    <t>Material Receipt</t>
  </si>
  <si>
    <t>Project Collection Admin</t>
  </si>
  <si>
    <t>2019-09-26T08:24:25.513Z</t>
  </si>
  <si>
    <t>http://dalptfs01:8080/tfs/EDMS/_apis/projects/570e7a52-4bbb-4735-a041-27c69406378a</t>
  </si>
  <si>
    <t>570e7a52-4bbb-4735-a041-27c69406378a</t>
  </si>
  <si>
    <t>This project captures all webtop customizations and cwp customizations.  Seamless transfer changes are also captured here.</t>
  </si>
  <si>
    <t>shawdocs_domestic</t>
  </si>
  <si>
    <t>2019-09-26T08:24:25.653Z</t>
  </si>
  <si>
    <t>http://dalptfs01:8080/tfs/EDMS/_apis/projects/4a9d6a13-ce69-40ee-9ff4-cc17c48ae36a</t>
  </si>
  <si>
    <t>4a9d6a13-ce69-40ee-9ff4-cc17c48ae36a</t>
  </si>
  <si>
    <t>BatchPrint</t>
  </si>
  <si>
    <t>2019-09-26T08:24:25.857Z</t>
  </si>
  <si>
    <t>http://dalptfs01:8080/tfs/EDMS/_apis/projects/34f2d64f-32a7-4d30-936d-55118a5dc7b1</t>
  </si>
  <si>
    <t>34f2d64f-32a7-4d30-936d-55118a5dc7b1</t>
  </si>
  <si>
    <t>Document workflow - Engineering &amp; Design Change Request</t>
  </si>
  <si>
    <t>EDCR</t>
  </si>
  <si>
    <t>2019-09-26T08:24:26.03Z</t>
  </si>
  <si>
    <t>http://dalptfs01:8080/tfs/EDMS/_apis/projects/390b7302-ec8c-4127-82df-818d156d55cb</t>
  </si>
  <si>
    <t>390b7302-ec8c-4127-82df-818d156d55cb</t>
  </si>
  <si>
    <t>Procedures workflow related source code.</t>
  </si>
  <si>
    <t>Procedures</t>
  </si>
  <si>
    <t>2019-09-26T08:24:26.247Z</t>
  </si>
  <si>
    <t>http://dalptfs01:8080/tfs/EDMS/_apis/projects/2212a9af-84ba-48b8-be86-fd138552876f</t>
  </si>
  <si>
    <t>2212a9af-84ba-48b8-be86-fd138552876f</t>
  </si>
  <si>
    <t>The SHAWDOCS team project includes changes to the document numbering and utility classes.  This project also has the library listing of all the jar files utilized when building workflows and other project DARs.</t>
  </si>
  <si>
    <t>SHAWDOCS</t>
  </si>
  <si>
    <t>2019-09-26T08:24:26.403Z</t>
  </si>
  <si>
    <t>http://dalptfs01:8080/tfs/EDMS/_apis/projects/051390ac-cc11-4c40-8224-a3389364619e</t>
  </si>
  <si>
    <t>051390ac-cc11-4c40-8224-a3389364619e</t>
  </si>
  <si>
    <t>ShawDoc Utility</t>
  </si>
  <si>
    <t>2019-09-26T08:24:26.59Z</t>
  </si>
  <si>
    <t>http://dalptfs01:8080/tfs/EDMS/_apis/projects/c2ea776b-6cae-4baf-b396-c3dfcd6fbcc1</t>
  </si>
  <si>
    <t>c2ea776b-6cae-4baf-b396-c3dfcd6fbcc1</t>
  </si>
  <si>
    <t>VendorReview</t>
  </si>
  <si>
    <t>2019-09-26T08:24:26.81Z</t>
  </si>
  <si>
    <t>http://dalptfs01:8080/tfs/EDMS/_apis/projects/2f58d454-97ad-4659-a603-c8f78dd64893</t>
  </si>
  <si>
    <t>2f58d454-97ad-4659-a603-c8f78dd64893</t>
  </si>
  <si>
    <t>Cognos BI Projects</t>
  </si>
  <si>
    <t>Engineering IT</t>
  </si>
  <si>
    <t>PLMForgeIntegration</t>
  </si>
  <si>
    <t>11/14/2022</t>
  </si>
  <si>
    <t>whitney.thomas@mcdermott.com</t>
  </si>
  <si>
    <t>2022-11-14T12:46:11.52Z</t>
  </si>
  <si>
    <t>http://dalptfs01:8080/tfs/Engineering IT/_apis/projects/be12e904-ed39-403f-be03-fb6085140fb2</t>
  </si>
  <si>
    <t>http://dalptfs01:8080/tfs/_apis/projectCollections/260e146e-187c-4211-9a95-a70299a4a5a6</t>
  </si>
  <si>
    <t>260e146e-187c-4211-9a95-a70299a4a5a6</t>
  </si>
  <si>
    <t>be12e904-ed39-403f-be03-fb6085140fb2</t>
  </si>
  <si>
    <t>PLM-Forge Integration for the Gemini XD project.</t>
  </si>
  <si>
    <t>PLM-Forge</t>
  </si>
  <si>
    <t>12/20/2022</t>
  </si>
  <si>
    <t>tnguyen</t>
  </si>
  <si>
    <t>2022-12-20T17:18:06.153Z</t>
  </si>
  <si>
    <t>http://dalptfs01:8080/tfs/Engineering IT/_apis/projects/5d668db8-2b15-4815-8e0e-7b98491a60ca</t>
  </si>
  <si>
    <t>5d668db8-2b15-4815-8e0e-7b98491a60ca</t>
  </si>
  <si>
    <t>Hexagon SmartPlant Customizations</t>
  </si>
  <si>
    <t>SmartPlant</t>
  </si>
  <si>
    <t>2021-11-08T17:57:39.55Z</t>
  </si>
  <si>
    <t>http://dalptfs01:8080/tfs/Engineering IT/_apis/projects/ebee7eb9-718f-4a4d-8505-cd7d0f9d5c51</t>
  </si>
  <si>
    <t>ebee7eb9-718f-4a4d-8505-cd7d0f9d5c51</t>
  </si>
  <si>
    <t>Enterprise Reporting</t>
  </si>
  <si>
    <t>EnterpriseDashboards</t>
  </si>
  <si>
    <t>bradley.ingle@mcdermott.com, paul.catanzaro@cbi.com</t>
  </si>
  <si>
    <t>2019-09-26T08:10:18.28Z</t>
  </si>
  <si>
    <t>http://dalptfs01:8080/tfs/Enterprise Reporting/_apis/projects/73e6c7a5-4813-41f6-82c2-fef229830501</t>
  </si>
  <si>
    <t>http://dalptfs01:8080/tfs/_apis/projectCollections/6487a12b-8d37-4821-a6be-8f91b95dcf99</t>
  </si>
  <si>
    <t>6487a12b-8d37-4821-a6be-8f91b95dcf99</t>
  </si>
  <si>
    <t>73e6c7a5-4813-41f6-82c2-fef229830501</t>
  </si>
  <si>
    <t>Enterprise Analytics</t>
  </si>
  <si>
    <t>Santhosh.V.Kumar@mcdermott.com</t>
  </si>
  <si>
    <t>2019-09-26T08:10:18.78Z</t>
  </si>
  <si>
    <t>http://dalptfs01:8080/tfs/Enterprise Reporting/_apis/projects/8eb830b9-09e7-4d1c-a7b0-5fe800ae78b4</t>
  </si>
  <si>
    <t>8eb830b9-09e7-4d1c-a7b0-5fe800ae78b4</t>
  </si>
  <si>
    <t>SSIS Packages</t>
  </si>
  <si>
    <t>iDOCS</t>
  </si>
  <si>
    <t>iDocsXD</t>
  </si>
  <si>
    <t>10/01/2024</t>
  </si>
  <si>
    <t>ctoet@mcdermott.com , Varsha.Ghadge@mcdermott.com , vranjan@mcdermott.com , x.mike.koshel@mcdermott.com</t>
  </si>
  <si>
    <t>2024-10-01T11:13:12.513Z</t>
  </si>
  <si>
    <t>http://dalptfs01:8080/tfs/iDOCS/_apis/projects/47570bdc-7e10-4960-a980-ec331bf2ad26</t>
  </si>
  <si>
    <t>http://dalptfs01:8080/tfs/_apis/projectCollections/c51e224c-af1a-42c4-b176-bd82c7ed07cd</t>
  </si>
  <si>
    <t>c51e224c-af1a-42c4-b176-bd82c7ed07cd</t>
  </si>
  <si>
    <t>47570bdc-7e10-4960-a980-ec331bf2ad26</t>
  </si>
  <si>
    <t>Enterprise Data Integration Processes</t>
  </si>
  <si>
    <t>2019-09-26T08:10:19.327Z</t>
  </si>
  <si>
    <t>http://dalptfs01:8080/tfs/Enterprise Reporting/_apis/projects/c13cb546-bb0d-4fc7-990d-3c6331224906</t>
  </si>
  <si>
    <t>c13cb546-bb0d-4fc7-990d-3c6331224906</t>
  </si>
  <si>
    <t>PLM Forge Viewer Integration</t>
  </si>
  <si>
    <t>Finance Planning Consolidation</t>
  </si>
  <si>
    <t>http://dalptfs01:8080/tfs/_apis/projectCollections/1c316bfe-1551-45a0-9bf4-96376ed4f5b8</t>
  </si>
  <si>
    <t>1c316bfe-1551-45a0-9bf4-96376ed4f5b8</t>
  </si>
  <si>
    <t>Grouping of all the systems related to Materials Management</t>
  </si>
  <si>
    <t>GovernmentSlns</t>
  </si>
  <si>
    <t>MindWireless</t>
  </si>
  <si>
    <t>Last updated 2013.</t>
  </si>
  <si>
    <t>2019-09-26T08:09:12.123Z</t>
  </si>
  <si>
    <t>http://dalptfs01:8080/tfs/GovernmentSlns/_apis/projects/89176f1d-b33a-4672-8185-af29b442ae31</t>
  </si>
  <si>
    <t>http://dalptfs01:8080/tfs/_apis/projectCollections/7fe16c7c-f887-4bfc-8075-d2fde084967b</t>
  </si>
  <si>
    <t>7fe16c7c-f887-4bfc-8075-d2fde084967b</t>
  </si>
  <si>
    <t>89176f1d-b33a-4672-8185-af29b442ae31</t>
  </si>
  <si>
    <t>VideoVault</t>
  </si>
  <si>
    <t>Last updated 2015.</t>
  </si>
  <si>
    <t>2019-09-26T08:09:12.437Z</t>
  </si>
  <si>
    <t>http://dalptfs01:8080/tfs/GovernmentSlns/_apis/projects/febda017-bd68-4a74-bd7f-e82e13eb88f9</t>
  </si>
  <si>
    <t>febda017-bd68-4a74-bd7f-e82e13eb88f9</t>
  </si>
  <si>
    <t>AdpIdentityProvider</t>
  </si>
  <si>
    <t>2019-09-26T08:09:13.09Z</t>
  </si>
  <si>
    <t>http://dalptfs01:8080/tfs/GovernmentSlns/_apis/projects/be598936-7405-4210-9150-3d3f36746116</t>
  </si>
  <si>
    <t>be598936-7405-4210-9150-3d3f36746116</t>
  </si>
  <si>
    <t>ShawTube-VV</t>
  </si>
  <si>
    <t>2019-09-26T08:09:13.34Z</t>
  </si>
  <si>
    <t>http://dalptfs01:8080/tfs/GovernmentSlns/_apis/projects/32c1cad4-d41e-4181-a02d-189e478c07c5</t>
  </si>
  <si>
    <t>32c1cad4-d41e-4181-a02d-189e478c07c5</t>
  </si>
  <si>
    <t>Last updated 2014.</t>
  </si>
  <si>
    <t>2019-09-26T08:09:13.64Z</t>
  </si>
  <si>
    <t>http://dalptfs01:8080/tfs/GovernmentSlns/_apis/projects/fa43c033-6f25-4972-80e7-89cc4567c86d</t>
  </si>
  <si>
    <t>fa43c033-6f25-4972-80e7-89cc4567c86d</t>
  </si>
  <si>
    <t>Topside application source</t>
  </si>
  <si>
    <t>Topside</t>
  </si>
  <si>
    <t>2019-09-26T08:09:13.95Z</t>
  </si>
  <si>
    <t>http://dalptfs01:8080/tfs/GovernmentSlns/_apis/projects/d38b9a28-271a-41ad-b86f-ae01e9d16849</t>
  </si>
  <si>
    <t>d38b9a28-271a-41ad-b86f-ae01e9d16849</t>
  </si>
  <si>
    <t>Small Applications</t>
  </si>
  <si>
    <t>2019-09-26T08:09:11.733Z</t>
  </si>
  <si>
    <t>http://dalptfs01:8080/tfs/GovernmentSlns/_apis/projects/a19b6721-812e-40fc-b15b-a61cda6b3282</t>
  </si>
  <si>
    <t>a19b6721-812e-40fc-b15b-a61cda6b3282</t>
  </si>
  <si>
    <t>CornerstoneSSO</t>
  </si>
  <si>
    <t>2019-09-26T08:09:12.81Z</t>
  </si>
  <si>
    <t>http://dalptfs01:8080/tfs/GovernmentSlns/_apis/projects/961e70ef-68e4-4483-b30d-42c17416cab0</t>
  </si>
  <si>
    <t>961e70ef-68e4-4483-b30d-42c17416cab0</t>
  </si>
  <si>
    <t>Java Projects</t>
  </si>
  <si>
    <t>PLM GEMINI</t>
  </si>
  <si>
    <t>06/19/2023</t>
  </si>
  <si>
    <t>cgeorge@mcdermott.com; nkumar6@mcdermott.com</t>
  </si>
  <si>
    <t xml:space="preserve">cgeorge@mcdermott.com; vranjan@mcdermott.com; nkumar6@mcdermott.com; jkobs@mcdermott.com; </t>
  </si>
  <si>
    <t>2023-06-19T07:52:22.05Z</t>
  </si>
  <si>
    <t>http://dalptfs01:8080/tfs/Java Projects/_apis/projects/c24947c4-8385-4d42-aad7-bdb51f829f29</t>
  </si>
  <si>
    <t>http://dalptfs01:8080/tfs/_apis/projectCollections/29e1213f-bd32-41d1-b491-0d72552484a0</t>
  </si>
  <si>
    <t>29e1213f-bd32-41d1-b491-0d72552484a0</t>
  </si>
  <si>
    <t>c24947c4-8385-4d42-aad7-bdb51f829f29</t>
  </si>
  <si>
    <t>iDocs ALM is a Team Project which will be used for managing iDocs PL/SQL code initially, and for all other needs eventually</t>
  </si>
  <si>
    <t>PsJdeIntfEJBModule</t>
  </si>
  <si>
    <t>05/18/2021</t>
  </si>
  <si>
    <t>2021-05-18T05:17:34.783Z</t>
  </si>
  <si>
    <t>http://dalptfs01:8080/tfs/Java Projects/_apis/projects/3bc4079b-d219-4849-866b-3893ca8ace63</t>
  </si>
  <si>
    <t>3bc4079b-d219-4849-866b-3893ca8ace63</t>
  </si>
  <si>
    <t>For ECM integration</t>
  </si>
  <si>
    <t>EMEA HR Digitization</t>
  </si>
  <si>
    <t>10/22/2020</t>
  </si>
  <si>
    <t>2020-10-22T09:42:11.583Z</t>
  </si>
  <si>
    <t>http://dalptfs01:8080/tfs/Java Projects/_apis/projects/9c73b8df-968d-41dc-be63-577e24ff81fd</t>
  </si>
  <si>
    <t>9c73b8df-968d-41dc-be63-577e24ff81fd</t>
  </si>
  <si>
    <t>Alfresco Upgrade</t>
  </si>
  <si>
    <t>aali@mcdermott.com</t>
  </si>
  <si>
    <t>vranjan@mcdermott.com; JMustafa@mcdermott.com; Nitin.Pawar@mcdermott.com</t>
  </si>
  <si>
    <t>2023-10-02T06:01:30.243Z</t>
  </si>
  <si>
    <t>http://dalptfs01:8080/tfs/Java Projects/_apis/projects/bf78c3bd-da30-4dbc-a550-7be424a7c628</t>
  </si>
  <si>
    <t>bf78c3bd-da30-4dbc-a550-7be424a7c628</t>
  </si>
  <si>
    <t>ENID Java Rich Client</t>
  </si>
  <si>
    <t>ECM 7.4</t>
  </si>
  <si>
    <t>11/15/2023</t>
  </si>
  <si>
    <t>Bobbi/Adnan</t>
  </si>
  <si>
    <t>aali@mcdermott.com; jmustafa@mcdermott.com; nitin.pawar@mcdermott.com; Sanket.Jambhulkar@mcdermott.com</t>
  </si>
  <si>
    <t>2023-11-15T18:14:24.537Z</t>
  </si>
  <si>
    <t>http://dalptfs01:8080/tfs/Java Projects/_apis/projects/e7466aee-578c-4e68-9d3b-d67f351c82a9</t>
  </si>
  <si>
    <t>e7466aee-578c-4e68-9d3b-d67f351c82a9</t>
  </si>
  <si>
    <t>ECM hr hardcopy digitalization</t>
  </si>
  <si>
    <t>iDocs ALM</t>
  </si>
  <si>
    <t>VRanjan@mcdermott.com,</t>
  </si>
  <si>
    <t>2019-09-26T08:16:11.78Z</t>
  </si>
  <si>
    <t>http://dalptfs01:8080/tfs/Java Projects/_apis/projects/6c6defa8-1bb9-403f-ab73-72210c6df4eb</t>
  </si>
  <si>
    <t>6c6defa8-1bb9-403f-ab73-72210c6df4eb</t>
  </si>
  <si>
    <t>Agile PLM</t>
  </si>
  <si>
    <t>Bobbi / Scott Harmon/Kalyani Haridas</t>
  </si>
  <si>
    <t>Atul Singhai</t>
  </si>
  <si>
    <t>VRanjan@mcdermott.com, vbhatia@cbi.com, VMishra@mcdermott.com, scott.harmon@cbi.com , Atul Singhai</t>
  </si>
  <si>
    <t>Scott Harmon said this needs migrated to CBI</t>
  </si>
  <si>
    <t>2019-09-26T08:16:12.06Z</t>
  </si>
  <si>
    <t>http://dalptfs01:8080/tfs/Java Projects/_apis/projects/89fab19a-0e90-476d-a812-80c0e3c7ea92</t>
  </si>
  <si>
    <t>89fab19a-0e90-476d-a812-80c0e3c7ea92</t>
  </si>
  <si>
    <t>2019-09-26T08:16:12.39Z</t>
  </si>
  <si>
    <t>http://dalptfs01:8080/tfs/Java Projects/_apis/projects/ae416a03-03ea-4485-bd2e-bbcc30ba6d8e</t>
  </si>
  <si>
    <t>ae416a03-03ea-4485-bd2e-bbcc30ba6d8e</t>
  </si>
  <si>
    <t>PSI Code Base</t>
  </si>
  <si>
    <t>ENID</t>
  </si>
  <si>
    <t>Saravana.Kumar@mcdermott.com</t>
  </si>
  <si>
    <t>vmishra@mcdermott.com</t>
  </si>
  <si>
    <t>2019-09-26T08:16:12.733Z</t>
  </si>
  <si>
    <t>http://dalptfs01:8080/tfs/Java Projects/_apis/projects/41b2bb24-175b-4991-a9c2-75dfbead2699</t>
  </si>
  <si>
    <t>41b2bb24-175b-4991-a9c2-75dfbead2699</t>
  </si>
  <si>
    <t>iDocs Project</t>
  </si>
  <si>
    <t>jeremy.wier@mcdermott.com</t>
  </si>
  <si>
    <t>2019-09-26T08:16:13.013Z</t>
  </si>
  <si>
    <t>http://dalptfs01:8080/tfs/Java Projects/_apis/projects/04658536-ea34-465a-b968-c988e0a281c9</t>
  </si>
  <si>
    <t>04658536-ea34-465a-b968-c988e0a281c9</t>
  </si>
  <si>
    <t>ecm-globalModel</t>
  </si>
  <si>
    <t>PsJdeGUI</t>
  </si>
  <si>
    <t>11/18/2021</t>
  </si>
  <si>
    <t>Manisha.Rawat@mcdermott.com; Atul.Singhai@mcdermott.com</t>
  </si>
  <si>
    <t>2021-11-18T14:48:05.953Z</t>
  </si>
  <si>
    <t>http://dalptfs01:8080/tfs/Java Projects/_apis/projects/d962dad4-237e-4b99-86ae-e04daa9d1ebc</t>
  </si>
  <si>
    <t>d962dad4-237e-4b99-86ae-e04daa9d1ebc</t>
  </si>
  <si>
    <t>This is the source code repo for all ECM projects</t>
  </si>
  <si>
    <t>TFMS</t>
  </si>
  <si>
    <t>nwongwisit@mcdermott.com</t>
  </si>
  <si>
    <t>vmishra@mcdermott.com , VRanjan@mcdermott.com</t>
  </si>
  <si>
    <t>2019-09-26T08:16:13.687Z</t>
  </si>
  <si>
    <t>http://dalptfs01:8080/tfs/Java Projects/_apis/projects/0ca34f0c-1c96-4a19-940d-52d954fbf54c</t>
  </si>
  <si>
    <t>0ca34f0c-1c96-4a19-940d-52d954fbf54c</t>
  </si>
  <si>
    <t>test project that intergates with Sharepoint</t>
  </si>
  <si>
    <t>AlfrescoMigration4Code</t>
  </si>
  <si>
    <t>06/17/2021</t>
  </si>
  <si>
    <t>AAli@mcdermott.com; vranjan@mcdermott.com; Manisha.Rawat@mcdermott.com</t>
  </si>
  <si>
    <t>2021-06-17T05:59:23.597Z</t>
  </si>
  <si>
    <t>http://dalptfs01:8080/tfs/Java Projects/_apis/projects/e9ada2e8-e3cf-4f1e-97d3-3985781ebe50</t>
  </si>
  <si>
    <t>e9ada2e8-e3cf-4f1e-97d3-3985781ebe50</t>
  </si>
  <si>
    <t>Thailand Fabrication Management System</t>
  </si>
  <si>
    <t>Maven Test</t>
  </si>
  <si>
    <t>2019-09-26T08:16:13.327Z</t>
  </si>
  <si>
    <t>http://dalptfs01:8080/tfs/Java Projects/_apis/projects/b9a05d7a-00f1-4e3f-94d6-8b16aac0e3b8</t>
  </si>
  <si>
    <t>b9a05d7a-00f1-4e3f-94d6-8b16aac0e3b8</t>
  </si>
  <si>
    <t>ecm-rim-hardcopy-62-ags3321</t>
  </si>
  <si>
    <t>03/30/2020</t>
  </si>
  <si>
    <t>AAli@mcdermott.com; AAmar@mcdermott.com; Santhosh.V.Kumar@mcdermott.com</t>
  </si>
  <si>
    <t>2020-03-30T21:53:46.067Z</t>
  </si>
  <si>
    <t>http://dalptfs01:8080/tfs/Java Projects/_apis/projects/026ef92b-30e6-43e2-b918-b0dd9b93f2df</t>
  </si>
  <si>
    <t>026ef92b-30e6-43e2-b918-b0dd9b93f2df</t>
  </si>
  <si>
    <t>JavaDemo</t>
  </si>
  <si>
    <t>2019-09-26T08:16:14.06Z</t>
  </si>
  <si>
    <t>http://dalptfs01:8080/tfs/Java Projects/_apis/projects/44208f52-3cb7-4fcb-99c4-337801f64ec7</t>
  </si>
  <si>
    <t>44208f52-3cb7-4fcb-99c4-337801f64ec7</t>
  </si>
  <si>
    <t>ecm-bulk-object-mapper-for-6-1</t>
  </si>
  <si>
    <t>06/25/2020</t>
  </si>
  <si>
    <t>AAli@mcdermott.com; vranjan@mcdermott.com</t>
  </si>
  <si>
    <t>2020-06-25T15:02:04.017Z</t>
  </si>
  <si>
    <t>http://dalptfs01:8080/tfs/Java Projects/_apis/projects/069a905c-3c58-4d1d-bbd4-efea2caeb76d</t>
  </si>
  <si>
    <t>069a905c-3c58-4d1d-bbd4-efea2caeb76d</t>
  </si>
  <si>
    <t>ecm-Aws-json-manifest-parser</t>
  </si>
  <si>
    <t>ecm-engineering-projects-km-ui</t>
  </si>
  <si>
    <t>2020-06-25T15:15:15.343Z</t>
  </si>
  <si>
    <t>http://dalptfs01:8080/tfs/Java Projects/_apis/projects/65835ff5-4002-420b-8ba3-d5f5d9ed1bef</t>
  </si>
  <si>
    <t>65835ff5-4002-420b-8ba3-d5f5d9ed1bef</t>
  </si>
  <si>
    <t>s3-to-alfresco-import-tool</t>
  </si>
  <si>
    <t>ecm-engineering-projects-km</t>
  </si>
  <si>
    <t>2020-06-25T15:11:05.927Z</t>
  </si>
  <si>
    <t>http://dalptfs01:8080/tfs/Java Projects/_apis/projects/140e7595-5bc5-479a-9092-1f9c9cbfb832</t>
  </si>
  <si>
    <t>140e7595-5bc5-479a-9092-1f9c9cbfb832</t>
  </si>
  <si>
    <t>ecm-Mcdermott-Delivery-Settings</t>
  </si>
  <si>
    <t>ecm-hr-hardcopy</t>
  </si>
  <si>
    <t>2020-03-30T20:36:52.62Z</t>
  </si>
  <si>
    <t>http://dalptfs01:8080/tfs/Java Projects/_apis/projects/c5f406ee-5253-473a-82a2-fd7a7f1176f9</t>
  </si>
  <si>
    <t>c5f406ee-5253-473a-82a2-fd7a7f1176f9</t>
  </si>
  <si>
    <t>For ECM Integration</t>
  </si>
  <si>
    <t>ecm-consulting-utils</t>
  </si>
  <si>
    <t>2020-06-25T15:08:34.41Z</t>
  </si>
  <si>
    <t>http://dalptfs01:8080/tfs/Java Projects/_apis/projects/b78a6b7d-76ac-46f7-8dd9-be8a58160d82</t>
  </si>
  <si>
    <t>b78a6b7d-76ac-46f7-8dd9-be8a58160d82</t>
  </si>
  <si>
    <t>ecm-NFS-alfresco-data-validation</t>
  </si>
  <si>
    <t>11/05/2019</t>
  </si>
  <si>
    <t>AAli@mcdermott.com , Bobbi Parkis</t>
  </si>
  <si>
    <t>2019-11-05T20:52:08.31Z</t>
  </si>
  <si>
    <t>http://dalptfs01:8080/tfs/Java Projects/_apis/projects/f40342a9-8dc9-48a6-ae7f-e0a700219177</t>
  </si>
  <si>
    <t>f40342a9-8dc9-48a6-ae7f-e0a700219177</t>
  </si>
  <si>
    <t>10/23/2019</t>
  </si>
  <si>
    <t>vranjan@mcdermott.com, AAli@mcdermott.com</t>
  </si>
  <si>
    <t>2019-10-23T07:05:11.007Z</t>
  </si>
  <si>
    <t>http://dalptfs01:8080/tfs/Java Projects/_apis/projects/d62debd6-f4f1-4bce-a670-c14af39f7e4a</t>
  </si>
  <si>
    <t>d62debd6-f4f1-4bce-a670-c14af39f7e4a</t>
  </si>
  <si>
    <t>PL\SQL code for the Concur Bridge.</t>
  </si>
  <si>
    <t>ecm-s3-to-alfresco-import-tool</t>
  </si>
  <si>
    <t>vranjan@mcdermott.com, AAli@mcdermott.com, Santhosh.V.Kumar@mcdermott.com</t>
  </si>
  <si>
    <t>2019-10-23T07:05:50.01Z</t>
  </si>
  <si>
    <t>http://dalptfs01:8080/tfs/Java Projects/_apis/projects/ee557d17-b4c3-47ed-988d-a3d9bf2f5c62</t>
  </si>
  <si>
    <t>ee557d17-b4c3-47ed-988d-a3d9bf2f5c62</t>
  </si>
  <si>
    <t>GeminiXD Product Backlog</t>
  </si>
  <si>
    <t>Lummus Technology  Group Project</t>
  </si>
  <si>
    <t>Smart Datasheets - Instrumentation - Control Valves</t>
  </si>
  <si>
    <t>Lummus</t>
  </si>
  <si>
    <t>01/29/2020</t>
  </si>
  <si>
    <t>2020-01-29T13:47:53.493Z</t>
  </si>
  <si>
    <t>http://dalptfs01:8080/tfs/Lummus Technology  Group Project/_apis/projects/23293f07-830e-4fb1-8372-2e116b448608</t>
  </si>
  <si>
    <t>http://dalptfs01:8080/tfs/_apis/projectCollections/744b0091-b7b3-45d9-8595-7a31ef68ce02</t>
  </si>
  <si>
    <t>744b0091-b7b3-45d9-8595-7a31ef68ce02</t>
  </si>
  <si>
    <t>23293f07-830e-4fb1-8372-2e116b448608</t>
  </si>
  <si>
    <t>Concur Interface</t>
  </si>
  <si>
    <t>2019-09-26T08:16:11.2Z</t>
  </si>
  <si>
    <t>http://dalptfs01:8080/tfs/Java Projects/_apis/projects/d2cb26ee-3c57-474c-bb54-03f7bc9c953d</t>
  </si>
  <si>
    <t>d2cb26ee-3c57-474c-bb54-03f7bc9c953d</t>
  </si>
  <si>
    <t>for ECM integration</t>
  </si>
  <si>
    <t>Borland Database Setup Program</t>
  </si>
  <si>
    <t>01/27/2020</t>
  </si>
  <si>
    <t>2020-01-27T18:53:44.477Z</t>
  </si>
  <si>
    <t>http://dalptfs01:8080/tfs/Lummus Technology  Group Project/_apis/projects/10acf7f5-20b3-4f79-8e06-aca18ae840b1</t>
  </si>
  <si>
    <t>10acf7f5-20b3-4f79-8e06-aca18ae840b1</t>
  </si>
  <si>
    <t>Chart LNG Extraction Tool</t>
  </si>
  <si>
    <t>2020-01-27T20:15:16.407Z</t>
  </si>
  <si>
    <t>http://dalptfs01:8080/tfs/Lummus Technology  Group Project/_apis/projects/41ca55fd-d358-4b7b-afc4-5040bfcbdaf0</t>
  </si>
  <si>
    <t>41ca55fd-d358-4b7b-afc4-5040bfcbdaf0</t>
  </si>
  <si>
    <t>Aftermarket Services Contract Tool</t>
  </si>
  <si>
    <t>01/24/2020</t>
  </si>
  <si>
    <t>2020-01-24T16:47:56.83Z</t>
  </si>
  <si>
    <t>http://dalptfs01:8080/tfs/Lummus Technology  Group Project/_apis/projects/3803b1ab-8951-4195-a87c-653a6d362189</t>
  </si>
  <si>
    <t>3803b1ab-8951-4195-a87c-653a6d362189</t>
  </si>
  <si>
    <t>ENID Database linked Excel template for developing analyzer datasheets</t>
  </si>
  <si>
    <t>ALMA</t>
  </si>
  <si>
    <t>01/22/2020</t>
  </si>
  <si>
    <t>2020-01-22T18:58:14.743Z</t>
  </si>
  <si>
    <t>http://dalptfs01:8080/tfs/Lummus Technology  Group Project/_apis/projects/dc1809b8-4780-41ac-8c4d-1d6adf23a948</t>
  </si>
  <si>
    <t>dc1809b8-4780-41ac-8c4d-1d6adf23a948</t>
  </si>
  <si>
    <t>This application is an in-house tool used by the Lummus Technology Process Engineering group. By leveraging our expertise and IP, this tool is used to develop Control Valve Datasheets by accessing the Process Database (ENID or DBmaker) and reporting the requested information into a datasheet format. This application supports the following Lummus Business Unit(s) Petrochemicals, Refining &amp; Gasification, Novolen, Chevron Lummus Global (CLG).</t>
  </si>
  <si>
    <t>Smart Datasheets - Instrumentation - Analyzer</t>
  </si>
  <si>
    <t>2020-01-24T17:08:44.887Z</t>
  </si>
  <si>
    <t>http://dalptfs01:8080/tfs/Lummus Technology  Group Project/_apis/projects/1b8b664a-714f-412b-8b8d-bea7d7124e8c</t>
  </si>
  <si>
    <t>1b8b664a-714f-412b-8b8d-bea7d7124e8c</t>
  </si>
  <si>
    <t>This program is used to quickly perform ENID Admin functions such adding users, unit schema and technology. This program can also copy the project setup from LTDENPRO to development/</t>
  </si>
  <si>
    <t>Smart Datasheets - Compressor - General</t>
  </si>
  <si>
    <t>2020-01-27T20:45:50.277Z</t>
  </si>
  <si>
    <t>http://dalptfs01:8080/tfs/Lummus Technology  Group Project/_apis/projects/ec31ddda-7010-4970-b951-6034550e07da</t>
  </si>
  <si>
    <t>ec31ddda-7010-4970-b951-6034550e07da</t>
  </si>
  <si>
    <t>This application is an in-house tool used by the Lummus Technology Process Engineering group. By leveraging our expertise and IP, this tool is used is used to provide consistent and validated design calculations for a distillation column separating two liquids. This application supports the following Lummus Business Unit(s) Petrochemicals.
This program is a FORTRAN back-end with an Excel Interface front end.</t>
  </si>
  <si>
    <t>Binary Distillation</t>
  </si>
  <si>
    <t>2020-01-27T16:57:44.257Z</t>
  </si>
  <si>
    <t>http://dalptfs01:8080/tfs/Lummus Technology  Group Project/_apis/projects/6b8acd9d-19d9-4f09-a78b-8e1bd4ba72b2</t>
  </si>
  <si>
    <t>6b8acd9d-19d9-4f09-a78b-8e1bd4ba72b2</t>
  </si>
  <si>
    <t>Created on request of Technology Group</t>
  </si>
  <si>
    <t>Smart Datasheets - Heat Exchanger - Air Cooler</t>
  </si>
  <si>
    <t>2020-01-22T18:59:45.697Z</t>
  </si>
  <si>
    <t>http://dalptfs01:8080/tfs/Lummus Technology  Group Project/_apis/projects/855454ff-e6e5-4312-9f8d-9c861ae6a0fb</t>
  </si>
  <si>
    <t>855454ff-e6e5-4312-9f8d-9c861ae6a0fb</t>
  </si>
  <si>
    <t>This repository consists of all of the Excel files used for developing an API Compressor Datasheet. This includes the calculation file and all templates currently in use.</t>
  </si>
  <si>
    <t>Smart Datasheets - Compressor - API</t>
  </si>
  <si>
    <t>2020-01-27T15:26:15.917Z</t>
  </si>
  <si>
    <t>http://dalptfs01:8080/tfs/Lummus Technology  Group Project/_apis/projects/5bd1f163-dfcc-44f9-ae36-89f695bd4365</t>
  </si>
  <si>
    <t>5bd1f163-dfcc-44f9-ae36-89f695bd4365</t>
  </si>
  <si>
    <t>This program interfaces with the iDocs database to copy the files from one CIF Share to a new CIF Share</t>
  </si>
  <si>
    <t>Bubblecap Sizing and Rating Tool</t>
  </si>
  <si>
    <t>2020-01-27T20:04:33.82Z</t>
  </si>
  <si>
    <t>http://dalptfs01:8080/tfs/Lummus Technology  Group Project/_apis/projects/ce979be4-3637-4d55-9e39-dd3db0b7e70f</t>
  </si>
  <si>
    <t>ce979be4-3637-4d55-9e39-dd3db0b7e70f</t>
  </si>
  <si>
    <t>Circle Functions Calculator</t>
  </si>
  <si>
    <t>2020-01-27T20:28:03.7Z</t>
  </si>
  <si>
    <t>http://dalptfs01:8080/tfs/Lummus Technology  Group Project/_apis/projects/8938e536-325e-4529-8967-8a68881c2546</t>
  </si>
  <si>
    <t>8938e536-325e-4529-8967-8a68881c2546</t>
  </si>
  <si>
    <t>This application is an in-house tool used by the Lummus Technology Process Engineering group. By leveraging our expertise and IP, this tool is used for the consistent and validated design calculations of a Condensate Pot. This application supports the following Lummus Business Unit(s) Petrochemicals.</t>
  </si>
  <si>
    <t>Smart Datasheets - Drums - Condensate Pots</t>
  </si>
  <si>
    <t>2020-01-29T13:30:05.047Z</t>
  </si>
  <si>
    <t>http://dalptfs01:8080/tfs/Lummus Technology  Group Project/_apis/projects/66d0aac7-c3e7-4b7e-bfe2-9238e2f35957</t>
  </si>
  <si>
    <t>66d0aac7-c3e7-4b7e-bfe2-9238e2f35957</t>
  </si>
  <si>
    <t>IFAWS 97 Steam Properties Excel Add-in and standard calculation sheet.</t>
  </si>
  <si>
    <t>PRZ Special Property Output File Generator</t>
  </si>
  <si>
    <t>2020-01-27T13:22:35.62Z</t>
  </si>
  <si>
    <t>http://dalptfs01:8080/tfs/Lummus Technology  Group Project/_apis/projects/9961637d-9752-42b1-8727-4c6d7fdce395</t>
  </si>
  <si>
    <t>9961637d-9752-42b1-8727-4c6d7fdce395</t>
  </si>
  <si>
    <t>This program is used to search the ENID Database by project name, project number or by technology. This returns the project number, project name, project stage and ENID Proj_ID, Tech_ID and Tech_Name</t>
  </si>
  <si>
    <t>Rapid iDocs File Transfer</t>
  </si>
  <si>
    <t>04/25/2020</t>
  </si>
  <si>
    <t>2020-04-25T12:26:58.87Z</t>
  </si>
  <si>
    <t>http://dalptfs01:8080/tfs/Lummus Technology  Group Project/_apis/projects/385dcbc2-14e7-4270-ae50-239dae2ff3bf</t>
  </si>
  <si>
    <t>385dcbc2-14e7-4270-ae50-239dae2ff3bf</t>
  </si>
  <si>
    <t>A918 - Migrated</t>
  </si>
  <si>
    <t>09/02/2020</t>
  </si>
  <si>
    <t>2020-09-02T16:45:01.7Z</t>
  </si>
  <si>
    <t>http://dalptfs01:8080/tfs/Lummus Technology  Group Project/_apis/projects/5877b2cd-9cff-4a1b-860b-d6ae78357eba</t>
  </si>
  <si>
    <t>5877b2cd-9cff-4a1b-860b-d6ae78357eba</t>
  </si>
  <si>
    <t>This application is an in-house tool used by the Lummus Technology Mechanical Engineering group. By leveraging our expertise and IP, this tool is used for calculating thermal ratings for Fired Heaters. It integrates with other in-house software such as PYPS to develop a finalized heater design. This application supports the following Lummus Business Unit(s) Lummus Heat Transfer (LHT), Petrochemicals, Refining &amp; Gasification.</t>
  </si>
  <si>
    <t>Bubcap</t>
  </si>
  <si>
    <t>2020-01-27T20:01:31.52Z</t>
  </si>
  <si>
    <t>http://dalptfs01:8080/tfs/Lummus Technology  Group Project/_apis/projects/38724fc2-33d7-4f5b-9d36-28dab9195337</t>
  </si>
  <si>
    <t>38724fc2-33d7-4f5b-9d36-28dab9195337</t>
  </si>
  <si>
    <t>This project contains the excel spreadsheets used for sizing and rating Bubblecap trays</t>
  </si>
  <si>
    <t>Smart Datasheets - Hydraulics Suite</t>
  </si>
  <si>
    <t>2020-01-27T15:33:55.74Z</t>
  </si>
  <si>
    <t>http://dalptfs01:8080/tfs/Lummus Technology  Group Project/_apis/projects/3d2e76ef-8d1d-482d-902e-f8033b5e49fd</t>
  </si>
  <si>
    <t>3d2e76ef-8d1d-482d-902e-f8033b5e49fd</t>
  </si>
  <si>
    <t>Excel ENID Upload Template</t>
  </si>
  <si>
    <t>05/18/2020</t>
  </si>
  <si>
    <t>2020-05-18T17:06:54.657Z</t>
  </si>
  <si>
    <t>http://dalptfs01:8080/tfs/Lummus Technology  Group Project/_apis/projects/33e66b52-9215-4423-b80a-c2040cb9d26a</t>
  </si>
  <si>
    <t>33e66b52-9215-4423-b80a-c2040cb9d26a</t>
  </si>
  <si>
    <t>PYPS+</t>
  </si>
  <si>
    <t>PYPS Plus</t>
  </si>
  <si>
    <t>02/11/2020</t>
  </si>
  <si>
    <t>2020-02-11T00:44:33.03Z</t>
  </si>
  <si>
    <t>http://dalptfs01:8080/tfs/Lummus Technology  Group Project/_apis/projects/dd7567d9-9c58-4ee8-b13b-2d9b042edc01</t>
  </si>
  <si>
    <t>dd7567d9-9c58-4ee8-b13b-2d9b042edc01</t>
  </si>
  <si>
    <t>Code for visually analyzing datasheets for comparing notes</t>
  </si>
  <si>
    <t>Smart Datasheets - Instrumentation - Alarm Summary</t>
  </si>
  <si>
    <t>2020-01-24T16:36:20.39Z</t>
  </si>
  <si>
    <t>http://dalptfs01:8080/tfs/Lummus Technology  Group Project/_apis/projects/bc8e73e6-9338-430f-9b3c-51ef81210559</t>
  </si>
  <si>
    <t>bc8e73e6-9338-430f-9b3c-51ef81210559</t>
  </si>
  <si>
    <t>Container for QHSES related systems</t>
  </si>
  <si>
    <t>ecm-alfresco-workflow</t>
  </si>
  <si>
    <t>2019-11-05T20:49:26.437Z</t>
  </si>
  <si>
    <t>http://dalptfs01:8080/tfs/Java Projects/_apis/projects/28ae58d6-b19e-400f-bc38-bd2f180b5f1f</t>
  </si>
  <si>
    <t>28ae58d6-b19e-400f-bc38-bd2f180b5f1f</t>
  </si>
  <si>
    <t>iDocs is a CB&amp;I inhouse developed  Document Management System</t>
  </si>
  <si>
    <t>2019-10-23T07:03:01.15Z</t>
  </si>
  <si>
    <t>http://dalptfs01:8080/tfs/Java Projects/_apis/projects/0059f18b-c140-4dd8-a49d-f10844f8c4bc</t>
  </si>
  <si>
    <t>0059f18b-c140-4dd8-a49d-f10844f8c4bc</t>
  </si>
  <si>
    <t>2019-10-23T07:04:34.543Z</t>
  </si>
  <si>
    <t>http://dalptfs01:8080/tfs/Java Projects/_apis/projects/f22d8611-f836-41e5-8f13-568542aa5c4a</t>
  </si>
  <si>
    <t>f22d8611-f836-41e5-8f13-568542aa5c4a</t>
  </si>
  <si>
    <t>MiddleEast</t>
  </si>
  <si>
    <t>GITProjects</t>
  </si>
  <si>
    <t>03/12/2020</t>
  </si>
  <si>
    <t>bparkis@mcdermott.com</t>
  </si>
  <si>
    <t>2020-03-12T20:01:31.78Z</t>
  </si>
  <si>
    <t>http://dalptfs01:8080/tfs/MiddleEast/_apis/projects/c3a0f70d-3438-4331-8adb-048c65d97251</t>
  </si>
  <si>
    <t>http://dalptfs01:8080/tfs/_apis/projectCollections/24c847e5-893a-4dc4-90d3-3641474fea61</t>
  </si>
  <si>
    <t>24c847e5-893a-4dc4-90d3-3641474fea61</t>
  </si>
  <si>
    <t>c3a0f70d-3438-4331-8adb-048c65d97251</t>
  </si>
  <si>
    <t>CD201</t>
  </si>
  <si>
    <t>2019-09-26T08:03:00.03Z</t>
  </si>
  <si>
    <t>http://dalptfs01:8080/tfs/Lummus Technology  Group Project/_apis/projects/776c1eff-48e8-41c7-bdd7-abd05d6235a2</t>
  </si>
  <si>
    <t>776c1eff-48e8-41c7-bdd7-abd05d6235a2</t>
  </si>
  <si>
    <t>This program sets up registry keys for DBMaker and FromDBM.xla. 
This utilizes the W:\LPT\AdvTools\IDAPI32 folder during the installation. (Referenced in an ini file)
This program is currently compiled in Delphi 5.
This program can be retired when DBMaker is retired.</t>
  </si>
  <si>
    <t>PAK</t>
  </si>
  <si>
    <t>2019-09-26T08:03:00.513Z</t>
  </si>
  <si>
    <t>http://dalptfs01:8080/tfs/Lummus Technology  Group Project/_apis/projects/9f08f469-6a1d-4501-bf4c-5cabbfe2f605</t>
  </si>
  <si>
    <t>9f08f469-6a1d-4501-bf4c-5cabbfe2f605</t>
  </si>
  <si>
    <t>Excel Add-in that contains, chord and pipe functions.</t>
  </si>
  <si>
    <t xml:space="preserve"> </t>
  </si>
  <si>
    <t>llacurom@mcdermott.com, anaseer@mcdermott.com</t>
  </si>
  <si>
    <t>Gautam.Gautam@mcdermott.com</t>
  </si>
  <si>
    <t>2019-10-25T17:04:27.05Z</t>
  </si>
  <si>
    <t>http://dalptfs01:8080/tfs/MiddleEast/_apis/projects/a4513dc6-da70-44c9-bfde-ef5e62ba0de7</t>
  </si>
  <si>
    <t>a4513dc6-da70-44c9-bfde-ef5e62ba0de7</t>
  </si>
  <si>
    <t>CUT</t>
  </si>
  <si>
    <t>2019-09-26T08:03:01.42Z</t>
  </si>
  <si>
    <t>http://dalptfs01:8080/tfs/Lummus Technology  Group Project/_apis/projects/f160e081-dd6e-4596-9f69-9296f69689b8</t>
  </si>
  <si>
    <t>f160e081-dd6e-4596-9f69-9296f69689b8</t>
  </si>
  <si>
    <t>ENID Excel Add-in</t>
  </si>
  <si>
    <t>Abhay.Jain@mcdermott.com</t>
  </si>
  <si>
    <t>Mithlesh.Kumar@mcdermott.com</t>
  </si>
  <si>
    <t>2019-10-25T17:04:28.86Z</t>
  </si>
  <si>
    <t>http://dalptfs01:8080/tfs/MiddleEast/_apis/projects/2f19ee6f-04f9-4651-b88d-9bad6c8f1f7b</t>
  </si>
  <si>
    <t>2f19ee6f-04f9-4651-b88d-9bad6c8f1f7b</t>
  </si>
  <si>
    <t>ENID Communication</t>
  </si>
  <si>
    <t>2019-09-26T08:03:01.983Z</t>
  </si>
  <si>
    <t>http://dalptfs01:8080/tfs/Lummus Technology  Group Project/_apis/projects/7825b501-ec32-4f99-8120-569145204f35</t>
  </si>
  <si>
    <t>7825b501-ec32-4f99-8120-569145204f35</t>
  </si>
  <si>
    <t>This application is an in-house tool used by the Lummus Technology Process Engineering group. This tool is used for the consistent and validated extraction of LNG Data into a format that is compatible with the Chart LNG program. This application supports the following Lummus Business Unit(s) Petrochemicals.</t>
  </si>
  <si>
    <t>DB Maker</t>
  </si>
  <si>
    <t>2019-09-26T08:03:02.467Z</t>
  </si>
  <si>
    <t>http://dalptfs01:8080/tfs/Lummus Technology  Group Project/_apis/projects/60c21dea-7ca1-42da-9023-ce439309dbaa</t>
  </si>
  <si>
    <t>60c21dea-7ca1-42da-9023-ce439309dbaa</t>
  </si>
  <si>
    <t>This is a Delphi program that interfaces with the ENID database to control and administer all AMS projects.</t>
  </si>
  <si>
    <t>E-Link</t>
  </si>
  <si>
    <t>2019-09-26T08:03:02.997Z</t>
  </si>
  <si>
    <t>http://dalptfs01:8080/tfs/Lummus Technology  Group Project/_apis/projects/b1851577-362f-4927-b2bc-66f6f73fcd01</t>
  </si>
  <si>
    <t>b1851577-362f-4927-b2bc-66f6f73fcd01</t>
  </si>
  <si>
    <t>BEDNEW</t>
  </si>
  <si>
    <t>2019-09-26T08:03:03.45Z</t>
  </si>
  <si>
    <t>http://dalptfs01:8080/tfs/Lummus Technology  Group Project/_apis/projects/464dafc5-51c5-4e1d-94e7-fcb20113d3e6</t>
  </si>
  <si>
    <t>464dafc5-51c5-4e1d-94e7-fcb20113d3e6</t>
  </si>
  <si>
    <t>Cutline</t>
  </si>
  <si>
    <t>2019-09-26T08:03:03.81Z</t>
  </si>
  <si>
    <t>http://dalptfs01:8080/tfs/Lummus Technology  Group Project/_apis/projects/1bfc267d-a36f-4ea5-b44b-43092e64c48e</t>
  </si>
  <si>
    <t>1bfc267d-a36f-4ea5-b44b-43092e64c48e</t>
  </si>
  <si>
    <t>This contains the calculation and template files for the Compressor Smart Datasheets</t>
  </si>
  <si>
    <t>Lummus Online</t>
  </si>
  <si>
    <t>2019-09-26T08:03:04.483Z</t>
  </si>
  <si>
    <t>http://dalptfs01:8080/tfs/Lummus Technology  Group Project/_apis/projects/9900e868-f03d-4187-97fa-97ef296b8f0d</t>
  </si>
  <si>
    <t>9900e868-f03d-4187-97fa-97ef296b8f0d</t>
  </si>
  <si>
    <t>CD200</t>
  </si>
  <si>
    <t>2019-09-26T08:03:04.89Z</t>
  </si>
  <si>
    <t>http://dalptfs01:8080/tfs/Lummus Technology  Group Project/_apis/projects/5ee2c076-e55f-4542-b7e0-45cc59b0e6bf</t>
  </si>
  <si>
    <t>5ee2c076-e55f-4542-b7e0-45cc59b0e6bf</t>
  </si>
  <si>
    <t>This repository consists of all of the Excel files used for developing a Air Cooler Datasheet. This includes the calculation file and all templates currently in use.</t>
  </si>
  <si>
    <t>Smart Datasheets - Heat Exchanger - LNG Heat Exchanger</t>
  </si>
  <si>
    <t>10/15/2019</t>
  </si>
  <si>
    <t>2019-10-15T19:23:04.113Z</t>
  </si>
  <si>
    <t>http://dalptfs01:8080/tfs/Lummus Technology  Group Project/_apis/projects/56ffd9a1-383c-4f5f-afe9-61e712a93977</t>
  </si>
  <si>
    <t>56ffd9a1-383c-4f5f-afe9-61e712a93977</t>
  </si>
  <si>
    <t>A936</t>
  </si>
  <si>
    <t>10/04/2019</t>
  </si>
  <si>
    <t>2019-10-04T21:15:03.773Z</t>
  </si>
  <si>
    <t>http://dalptfs01:8080/tfs/Lummus Technology  Group Project/_apis/projects/14ac7afc-2799-4a11-b8ef-25ea7aa615e9</t>
  </si>
  <si>
    <t>14ac7afc-2799-4a11-b8ef-25ea7aa615e9</t>
  </si>
  <si>
    <t>This program checks for consistency across the 4 ENID database instances.</t>
  </si>
  <si>
    <t>Process Database Check</t>
  </si>
  <si>
    <t>2019-09-26T08:03:05.997Z</t>
  </si>
  <si>
    <t>http://dalptfs01:8080/tfs/Lummus Technology  Group Project/_apis/projects/5080d857-cb5d-4e38-8d9d-870c1731036a</t>
  </si>
  <si>
    <t>5080d857-cb5d-4e38-8d9d-870c1731036a</t>
  </si>
  <si>
    <t>PSV Index</t>
  </si>
  <si>
    <t>2019-09-26T08:03:06.187Z</t>
  </si>
  <si>
    <t>http://dalptfs01:8080/tfs/Lummus Technology  Group Project/_apis/projects/d7156d18-24a5-4746-8152-d1cf04b223e4</t>
  </si>
  <si>
    <t>d7156d18-24a5-4746-8152-d1cf04b223e4</t>
  </si>
  <si>
    <t>This product has been RETIRED</t>
  </si>
  <si>
    <t>Tower Internals - Seal Pan Calculation</t>
  </si>
  <si>
    <t>11/04/2019</t>
  </si>
  <si>
    <t>2019-11-04T18:43:16.683Z</t>
  </si>
  <si>
    <t>http://dalptfs01:8080/tfs/Lummus Technology  Group Project/_apis/projects/1200a0ec-ba72-4661-9ce0-842ffd437d24</t>
  </si>
  <si>
    <t>1200a0ec-ba72-4661-9ce0-842ffd437d24</t>
  </si>
  <si>
    <t>This Excel workbook utilizes smartcalcs.xla to calculate circle parameters.</t>
  </si>
  <si>
    <t>llacurom@mcdermott.com AAli@mcdermott.com, ZMohammad@mcdermott.com</t>
  </si>
  <si>
    <t>Smrutilipsa.Nayak@mcdermott.com</t>
  </si>
  <si>
    <t>2019-10-25T17:04:30.507Z</t>
  </si>
  <si>
    <t>http://dalptfs01:8080/tfs/MiddleEast/_apis/projects/6389c626-ff42-4942-9f1b-4ff2d6eda7d9</t>
  </si>
  <si>
    <t>6389c626-ff42-4942-9f1b-4ff2d6eda7d9</t>
  </si>
  <si>
    <t>BED</t>
  </si>
  <si>
    <t>2019-09-26T08:03:07.763Z</t>
  </si>
  <si>
    <t>http://dalptfs01:8080/tfs/Lummus Technology  Group Project/_apis/projects/41f2bad9-c7cd-449c-8707-c6544028ce94</t>
  </si>
  <si>
    <t>41f2bad9-c7cd-449c-8707-c6544028ce94</t>
  </si>
  <si>
    <t>Smart Datasheets - Heat Exchanger - Shell and Tube</t>
  </si>
  <si>
    <t>2019-09-26T08:03:08.123Z</t>
  </si>
  <si>
    <t>http://dalptfs01:8080/tfs/Lummus Technology  Group Project/_apis/projects/1633c7b4-a813-4bf2-9e4d-ff0b69f46cd4</t>
  </si>
  <si>
    <t>1633c7b4-a813-4bf2-9e4d-ff0b69f46cd4</t>
  </si>
  <si>
    <t>LumTray</t>
  </si>
  <si>
    <t>2019-09-26T08:03:08.403Z</t>
  </si>
  <si>
    <t>http://dalptfs01:8080/tfs/Lummus Technology  Group Project/_apis/projects/a1c8d4fc-6f45-42c2-982b-8fd2df998462</t>
  </si>
  <si>
    <t>a1c8d4fc-6f45-42c2-982b-8fd2df998462</t>
  </si>
  <si>
    <t>Used for converting prz to proper output for ENID ingestion.
Password for VBA - DBMaker</t>
  </si>
  <si>
    <t>ENID Query</t>
  </si>
  <si>
    <t>2019-09-26T08:03:08.717Z</t>
  </si>
  <si>
    <t>http://dalptfs01:8080/tfs/Lummus Technology  Group Project/_apis/projects/162a0333-8fe1-49c2-b235-db83a527fa6a</t>
  </si>
  <si>
    <t>162a0333-8fe1-49c2-b235-db83a527fa6a</t>
  </si>
  <si>
    <t>This repository consists of all of the Excel files used for developing the Pump Datasheets, Hydraulic Calculations and Pressure Profiles. This includes the calculation file and all templates currently in use.</t>
  </si>
  <si>
    <t>Smart Data Sheets</t>
  </si>
  <si>
    <t>2019-09-26T08:03:09.077Z</t>
  </si>
  <si>
    <t>http://dalptfs01:8080/tfs/Lummus Technology  Group Project/_apis/projects/7faabfe5-064b-4be2-be43-32aaa3789a0f</t>
  </si>
  <si>
    <t>7faabfe5-064b-4be2-be43-32aaa3789a0f</t>
  </si>
  <si>
    <t>Add-in to centralize code shared across Lummus Excel Based tools</t>
  </si>
  <si>
    <t>llacurom@mcdermott.com ,AAli@mcdermott.com, ZMohammad@mcdermott.com</t>
  </si>
  <si>
    <t>Abhisek.Munshi@mcdermott.com , Smrutilipsa.Nayak@mcdermott.com</t>
  </si>
  <si>
    <t>GAMS apps needed: McDermott Clinic System (HumanResources/ADP Historical System-Upgradedbranch), EHS (HumanResources/EHS/EHS_Upgraded4.6.2/EHS), ADPHistorical (HumanResources/ADP Historical System-Upgradedbranch).  Others showing in HumanResources not listed and might need archived.</t>
  </si>
  <si>
    <t>2019-10-25T17:04:33.52Z</t>
  </si>
  <si>
    <t>http://dalptfs01:8080/tfs/MiddleEast/_apis/projects/8ebe679c-989a-41f5-8e8a-09423c870524</t>
  </si>
  <si>
    <t>8ebe679c-989a-41f5-8e8a-09423c870524</t>
  </si>
  <si>
    <t>Ethlyene Overall Material Balance</t>
  </si>
  <si>
    <t>2019-09-26T08:03:09.64Z</t>
  </si>
  <si>
    <t>http://dalptfs01:8080/tfs/Lummus Technology  Group Project/_apis/projects/14f3cc0e-8ee6-448c-8e42-c5ed5ddc24de</t>
  </si>
  <si>
    <t>14f3cc0e-8ee6-448c-8e42-c5ed5ddc24de</t>
  </si>
  <si>
    <t>This is the template used for importing data to ENID from Excel</t>
  </si>
  <si>
    <t>Datasheet Analytics</t>
  </si>
  <si>
    <t>10/10/2019</t>
  </si>
  <si>
    <t>2019-10-10T13:46:25.897Z</t>
  </si>
  <si>
    <t>http://dalptfs01:8080/tfs/Lummus Technology  Group Project/_apis/projects/ce10acf2-2a41-408d-878d-920a6ee731e6</t>
  </si>
  <si>
    <t>ce10acf2-2a41-408d-878d-920a6ee731e6</t>
  </si>
  <si>
    <t>02/17/2025</t>
  </si>
  <si>
    <t>2025-02-17T16:30:32.733Z</t>
  </si>
  <si>
    <t>http://dalptfs01:8080/tfs/MiddleEast/_apis/projects/9accbd71-be44-41ac-8149-1fe9b231bb33</t>
  </si>
  <si>
    <t>9accbd71-be44-41ac-8149-1fe9b231bb33</t>
  </si>
  <si>
    <t>Bobbi / Kalyani / Santha</t>
  </si>
  <si>
    <t>KJohnson02@mcdermott.com, AAli@mcdermott.com</t>
  </si>
  <si>
    <t>Abhisek.Munshi@mcdermott.com , Smrutilipsa.Nayak@mcdermott.com , Santhosh.V.Kumar@mcdermott.com , Samarpan.Banerjee@mcdermott.com</t>
  </si>
  <si>
    <t xml:space="preserve">Several GAMS apps need migrated: Jvxpert, OnlinePayroll, Pettycash, Employee Receivable Statement Email, Document management system, Record management system, Fglsplit (MEA - Dubai), Fglsplit (AEA - Houston), MyCalls - (Service : ASAMyCallsCiscoCdrFetcher and MyCallsCiscoCdrFetcher), PEIRS. Check emailed spreadsheets from Santha and Kalyani. </t>
  </si>
  <si>
    <t>2019-10-25T17:04:35.333Z</t>
  </si>
  <si>
    <t>http://dalptfs01:8080/tfs/MiddleEast/_apis/projects/59ebe0f4-c82d-4363-bab9-ee51284fa111</t>
  </si>
  <si>
    <t>59ebe0f4-c82d-4363-bab9-ee51284fa111</t>
  </si>
  <si>
    <t>03/11/2020</t>
  </si>
  <si>
    <t>Bobbi / Kalyani Haridas</t>
  </si>
  <si>
    <t>NUNadhiroh@mcdermott.com, llacurom@mcdermott.com,anaseer@mcdermott.com</t>
  </si>
  <si>
    <t>Abhisek.Munshi@mcdermott.com , Smrutilipsa.Nayak@mcdermott.com , Santhosh.V.Kumar@mcdermott.com , Samarpan.Banerjee@mcdermott.com, Aulia.Molanda@mcdermott.com</t>
  </si>
  <si>
    <t xml:space="preserve">Several GAMS apps need migrated: MWIN, SAIC and MAT. Kalyani Haridas and Santha (paths on emailed spreadsheet). </t>
  </si>
  <si>
    <t>2020-03-11T21:31:08.8Z</t>
  </si>
  <si>
    <t>http://dalptfs01:8080/tfs/MiddleEast/_apis/projects/ff27ccf8-0f8e-4ba8-84e8-62d2e3afad29</t>
  </si>
  <si>
    <t>ff27ccf8-0f8e-4ba8-84e8-62d2e3afad29</t>
  </si>
  <si>
    <t>07/15/2022</t>
  </si>
  <si>
    <t>AAli@mcdermott.com</t>
  </si>
  <si>
    <t>Ajmal.Usman@mcdermott.com, manisha.rawat@mcdermott.com</t>
  </si>
  <si>
    <t>2022-07-15T11:19:11.173Z</t>
  </si>
  <si>
    <t>http://dalptfs01:8080/tfs/MiddleEast/_apis/projects/fad1e79c-d0f6-435e-a9cb-d0bd7a1d8bee</t>
  </si>
  <si>
    <t>fad1e79c-d0f6-435e-a9cb-d0bd7a1d8bee</t>
  </si>
  <si>
    <t>2019-10-25T17:04:32.507Z</t>
  </si>
  <si>
    <t>http://dalptfs01:8080/tfs/MiddleEast/_apis/projects/70235f18-12bf-4203-a89a-6b423fb46dfc</t>
  </si>
  <si>
    <t>70235f18-12bf-4203-a89a-6b423fb46dfc</t>
  </si>
  <si>
    <t>ShawAppDev</t>
  </si>
  <si>
    <t>ESTATS</t>
  </si>
  <si>
    <t>CBI</t>
  </si>
  <si>
    <t>Abhisek.Munshi@mcdermott.com,bparkis@mcdermott.com,AAmar@mcdermott.com</t>
  </si>
  <si>
    <t>2019-09-26T08:42:28.64Z</t>
  </si>
  <si>
    <t>http://dalptfs01:8080/tfs/ShawAppDev/_apis/projects/345d4b6e-eaa8-4115-8774-e36d723306b9</t>
  </si>
  <si>
    <t>http://dalptfs01:8080/tfs/_apis/projectCollections/63cbe5d8-7df4-4623-9e08-0abd09add5a6</t>
  </si>
  <si>
    <t>63cbe5d8-7df4-4623-9e08-0abd09add5a6</t>
  </si>
  <si>
    <t>345d4b6e-eaa8-4115-8774-e36d723306b9</t>
  </si>
  <si>
    <t>Walmart projects</t>
  </si>
  <si>
    <t>2019-10-25T17:04:34.903Z</t>
  </si>
  <si>
    <t>http://dalptfs01:8080/tfs/MiddleEast/_apis/projects/2023214e-f766-4d1f-b21c-a317ae597783</t>
  </si>
  <si>
    <t>2023214e-f766-4d1f-b21c-a317ae597783</t>
  </si>
  <si>
    <t>Shaw Cable Manager</t>
  </si>
  <si>
    <t>whitney.thomas@cbi.com</t>
  </si>
  <si>
    <t>2019-09-26T08:42:30.06Z</t>
  </si>
  <si>
    <t>http://dalptfs01:8080/tfs/ShawAppDev/_apis/projects/38d0c271-68a9-49ee-a870-27a6f34ee648</t>
  </si>
  <si>
    <t>38d0c271-68a9-49ee-a870-27a6f34ee648</t>
  </si>
  <si>
    <t>08/19/2020</t>
  </si>
  <si>
    <t>2020-08-19T18:59:43.43Z</t>
  </si>
  <si>
    <t>http://dalptfs01:8080/tfs/MiddleEast/_apis/projects/08213972-8a26-404f-a7df-f74879c1a5ce</t>
  </si>
  <si>
    <t>08213972-8a26-404f-a7df-f74879c1a5ce</t>
  </si>
  <si>
    <t>2019-10-25T17:04:28.377Z</t>
  </si>
  <si>
    <t>http://dalptfs01:8080/tfs/MiddleEast/_apis/projects/fbd77da5-3777-4d88-8c51-6db1d40e8ee1</t>
  </si>
  <si>
    <t>fbd77da5-3777-4d88-8c51-6db1d40e8ee1</t>
  </si>
  <si>
    <t>2019-10-25T17:04:28.67Z</t>
  </si>
  <si>
    <t>http://dalptfs01:8080/tfs/MiddleEast/_apis/projects/33d288a6-0377-478f-9887-97f3113e3a03</t>
  </si>
  <si>
    <t>33d288a6-0377-478f-9887-97f3113e3a03</t>
  </si>
  <si>
    <t>2019-10-25T17:04:29.16Z</t>
  </si>
  <si>
    <t>http://dalptfs01:8080/tfs/MiddleEast/_apis/projects/fba58b52-026e-4c8f-86c9-40d6986ebf80</t>
  </si>
  <si>
    <t>fba58b52-026e-4c8f-86c9-40d6986ebf80</t>
  </si>
  <si>
    <t>2019-10-25T17:04:29.24Z</t>
  </si>
  <si>
    <t>http://dalptfs01:8080/tfs/MiddleEast/_apis/projects/91f904a1-484d-4725-8e10-1f571361a142</t>
  </si>
  <si>
    <t>91f904a1-484d-4725-8e10-1f571361a142</t>
  </si>
  <si>
    <t>2019-10-25T17:04:30.163Z</t>
  </si>
  <si>
    <t>http://dalptfs01:8080/tfs/MiddleEast/_apis/projects/506d00c0-e415-4882-a58b-7d92500981e9</t>
  </si>
  <si>
    <t>506d00c0-e415-4882-a58b-7d92500981e9</t>
  </si>
  <si>
    <t>2019-10-25T17:04:31.29Z</t>
  </si>
  <si>
    <t>http://dalptfs01:8080/tfs/MiddleEast/_apis/projects/bad0bae8-f8ed-4932-a9ed-b64041ace68f</t>
  </si>
  <si>
    <t>bad0bae8-f8ed-4932-a9ed-b64041ace68f</t>
  </si>
  <si>
    <t>2019-10-25T17:04:31.733Z</t>
  </si>
  <si>
    <t>http://dalptfs01:8080/tfs/MiddleEast/_apis/projects/d5a22fa4-5433-4dba-8b70-759d9df477d6</t>
  </si>
  <si>
    <t>d5a22fa4-5433-4dba-8b70-759d9df477d6</t>
  </si>
  <si>
    <t>2019-10-25T17:04:32.857Z</t>
  </si>
  <si>
    <t>http://dalptfs01:8080/tfs/MiddleEast/_apis/projects/dac261d6-e8d1-453a-ae02-2aa5109b9b14</t>
  </si>
  <si>
    <t>dac261d6-e8d1-453a-ae02-2aa5109b9b14</t>
  </si>
  <si>
    <t>2019-10-25T17:04:34.167Z</t>
  </si>
  <si>
    <t>http://dalptfs01:8080/tfs/MiddleEast/_apis/projects/e79b1b2c-29c5-4fe0-9625-801390190571</t>
  </si>
  <si>
    <t>e79b1b2c-29c5-4fe0-9625-801390190571</t>
  </si>
  <si>
    <t>2019-10-25T17:04:34.59Z</t>
  </si>
  <si>
    <t>http://dalptfs01:8080/tfs/MiddleEast/_apis/projects/9e39f0ab-08ca-4b1b-b549-e50d21909311</t>
  </si>
  <si>
    <t>9e39f0ab-08ca-4b1b-b549-e50d21909311</t>
  </si>
  <si>
    <t>E1 Engineering Interface</t>
  </si>
  <si>
    <t>manisha.rawat@mcdermott.com</t>
  </si>
  <si>
    <t>2019-09-26T08:42:30.437Z</t>
  </si>
  <si>
    <t>http://dalptfs01:8080/tfs/ShawAppDev/_apis/projects/a187918f-5d8a-434a-afff-82dbc4ded149</t>
  </si>
  <si>
    <t>a187918f-5d8a-434a-afff-82dbc4ded149</t>
  </si>
  <si>
    <t>SvnPlainfieldBld3</t>
  </si>
  <si>
    <t>Dev</t>
  </si>
  <si>
    <t>Bobbi/Jeremy Wier/Kalyani Haridas</t>
  </si>
  <si>
    <t xml:space="preserve"> x.mike.koshel@mcdermott.com; Jeremy.Wier@mcdermott.com</t>
  </si>
  <si>
    <t xml:space="preserve"> x.mike.koshel@mcdermott.com; VMishra@mcdermott.com; VSlavov@mcdermott.com; CToet@mcdermott.com; Jeremy.Wier@mcdermott.com</t>
  </si>
  <si>
    <t>2019-10-15T16:27:27.11Z</t>
  </si>
  <si>
    <t>http://dalptfs01:8080/tfs/SvnPlainfieldBld3/_apis/projects/a4f2507c-5f63-4aeb-84d3-3b7c9b75c97a</t>
  </si>
  <si>
    <t>http://dalptfs01:8080/tfs/_apis/projectCollections/b825fc4f-b796-4407-9202-908168ed8f52</t>
  </si>
  <si>
    <t>b825fc4f-b796-4407-9202-908168ed8f52</t>
  </si>
  <si>
    <t>a4f2507c-5f63-4aeb-84d3-3b7c9b75c97a</t>
  </si>
  <si>
    <t>This team project contains the source code that was originally on the plainfield-bld3 server in the Subversion repository located at "C:\Repositories\sqldev".  In Q4 2015 all of the data in the repository was migrated to this Team Project.  The Timely Migr</t>
  </si>
  <si>
    <t>VS Projects</t>
  </si>
  <si>
    <t>SPC OffShore</t>
  </si>
  <si>
    <t>09/13/2024</t>
  </si>
  <si>
    <t>JRLaurito@mcdermott.com</t>
  </si>
  <si>
    <t>Binod.Gupta@mcdermott.com, FRedrikana@mcdermott.com , vranjan@mcdermott.com</t>
  </si>
  <si>
    <t>2024-09-13T06:39:00.027Z</t>
  </si>
  <si>
    <t>http://dalptfs01:8080/tfs/VS Projects/_apis/projects/7f1510a2-1faf-46fa-8600-3744a95aafa4</t>
  </si>
  <si>
    <t>http://dalptfs01:8080/tfs/_apis/projectCollections/cbd24403-32ff-4a80-888d-a6dea91b928d</t>
  </si>
  <si>
    <t>cbd24403-32ff-4a80-888d-a6dea91b928d</t>
  </si>
  <si>
    <t>7f1510a2-1faf-46fa-8600-3744a95aafa4</t>
  </si>
  <si>
    <t>PowerBuilder Test Collection</t>
  </si>
  <si>
    <t>Materials Management</t>
  </si>
  <si>
    <t>04/27/2022</t>
  </si>
  <si>
    <t>2022-04-27T16:42:03.22Z</t>
  </si>
  <si>
    <t>http://dalptfs01:8080/tfs/PowerBuilder Test Collection/_apis/projects/cb00aad5-af98-42ce-999d-380ed3e1c542</t>
  </si>
  <si>
    <t>http://dalptfs01:8080/tfs/_apis/projectCollections/0ccaf046-4678-40ba-a81d-b052db103bb6</t>
  </si>
  <si>
    <t>0ccaf046-4678-40ba-a81d-b052db103bb6</t>
  </si>
  <si>
    <t>cb00aad5-af98-42ce-999d-380ed3e1c542</t>
  </si>
  <si>
    <t>This team project contains the source code that was originally on the plainfield-bld3 server in the Visual Source Safe repository located at "C:\vss".  In Q4 2015 all of the data in the repository was migrated to this team project.  The Timely Migrations t</t>
  </si>
  <si>
    <t>ERA</t>
  </si>
  <si>
    <t xml:space="preserve">Bobbi </t>
  </si>
  <si>
    <t>No current developers or admins.  Last updated 2012.</t>
  </si>
  <si>
    <t>2019-09-26T08:42:26.09Z</t>
  </si>
  <si>
    <t>http://dalptfs01:8080/tfs/ShawAppDev/_apis/projects/00beb303-3253-407d-924c-b292e0cdce2f</t>
  </si>
  <si>
    <t>00beb303-3253-407d-924c-b292e0cdce2f</t>
  </si>
  <si>
    <t>Tercs</t>
  </si>
  <si>
    <t>No current developers or admins.  Last updated 2013.</t>
  </si>
  <si>
    <t>2019-09-26T08:42:26.17Z</t>
  </si>
  <si>
    <t>http://dalptfs01:8080/tfs/ShawAppDev/_apis/projects/ede2c307-ecc9-47bf-ac1d-82a0861b9694</t>
  </si>
  <si>
    <t>ede2c307-ecc9-47bf-ac1d-82a0861b9694</t>
  </si>
  <si>
    <t>Shaw Rewards</t>
  </si>
  <si>
    <t>No current developers or admins.  Last updated 2011.</t>
  </si>
  <si>
    <t>2019-09-26T08:42:26.217Z</t>
  </si>
  <si>
    <t>http://dalptfs01:8080/tfs/ShawAppDev/_apis/projects/f80baebb-f5a5-44fe-b392-86a0d303559c</t>
  </si>
  <si>
    <t>f80baebb-f5a5-44fe-b392-86a0d303559c</t>
  </si>
  <si>
    <t>Nuclear E-Car</t>
  </si>
  <si>
    <t>E-Car</t>
  </si>
  <si>
    <t>2019-09-26T08:42:26.28Z</t>
  </si>
  <si>
    <t>http://dalptfs01:8080/tfs/ShawAppDev/_apis/projects/13492c49-f8bd-4c15-b7ad-602a91b64d45</t>
  </si>
  <si>
    <t>13492c49-f8bd-4c15-b7ad-602a91b64d45</t>
  </si>
  <si>
    <t>No current developers or admins.  Last updated 2016.</t>
  </si>
  <si>
    <t>2019-09-26T08:42:26.327Z</t>
  </si>
  <si>
    <t>http://dalptfs01:8080/tfs/ShawAppDev/_apis/projects/0eaecfe7-4254-4c9b-8e7b-d4917ed67e4a</t>
  </si>
  <si>
    <t>0eaecfe7-4254-4c9b-8e7b-d4917ed67e4a</t>
  </si>
  <si>
    <t>New Team project created code based from MarianJDEInterface</t>
  </si>
  <si>
    <t>SPM-E1-Interface</t>
  </si>
  <si>
    <t>No current developers or admins.  Last updated 2015.</t>
  </si>
  <si>
    <t>2019-09-26T08:42:26.39Z</t>
  </si>
  <si>
    <t>http://dalptfs01:8080/tfs/ShawAppDev/_apis/projects/415fa6f6-f723-4554-90fa-29b73b51a564</t>
  </si>
  <si>
    <t>415fa6f6-f723-4554-90fa-29b73b51a564</t>
  </si>
  <si>
    <t>Nuclear OELL</t>
  </si>
  <si>
    <t>2019-09-26T08:42:26.437Z</t>
  </si>
  <si>
    <t>http://dalptfs01:8080/tfs/ShawAppDev/_apis/projects/079a8c9d-f712-43c2-af7d-6fd053dbb50c</t>
  </si>
  <si>
    <t>079a8c9d-f712-43c2-af7d-6fd053dbb50c</t>
  </si>
  <si>
    <t>Staff Reviewer</t>
  </si>
  <si>
    <t>2019-09-26T08:42:26.497Z</t>
  </si>
  <si>
    <t>http://dalptfs01:8080/tfs/ShawAppDev/_apis/projects/89c15ee4-afd5-4f42-b784-85648081b2b9</t>
  </si>
  <si>
    <t>89c15ee4-afd5-4f42-b784-85648081b2b9</t>
  </si>
  <si>
    <t>VSS2A</t>
  </si>
  <si>
    <t>2019-09-26T08:42:26.543Z</t>
  </si>
  <si>
    <t>http://dalptfs01:8080/tfs/ShawAppDev/_apis/projects/c518dade-1aaf-4a8d-9eb7-7c9782b696ea</t>
  </si>
  <si>
    <t>c518dade-1aaf-4a8d-9eb7-7c9782b696ea</t>
  </si>
  <si>
    <t>AcornInterface</t>
  </si>
  <si>
    <t>2019-09-26T08:42:26.607Z</t>
  </si>
  <si>
    <t>http://dalptfs01:8080/tfs/ShawAppDev/_apis/projects/eeb473de-c1cb-4656-9bf8-9fc408c317b8</t>
  </si>
  <si>
    <t>eeb473de-c1cb-4656-9bf8-9fc408c317b8</t>
  </si>
  <si>
    <t>A java application using Eclipse</t>
  </si>
  <si>
    <t>ShawTrac</t>
  </si>
  <si>
    <t>2019-09-26T08:42:26.653Z</t>
  </si>
  <si>
    <t>http://dalptfs01:8080/tfs/ShawAppDev/_apis/projects/9365dc8d-6587-422d-a774-449465001197</t>
  </si>
  <si>
    <t>9365dc8d-6587-422d-a774-449465001197</t>
  </si>
  <si>
    <t>Web03</t>
  </si>
  <si>
    <t>VSS3</t>
  </si>
  <si>
    <t>2019-09-26T08:42:26.717Z</t>
  </si>
  <si>
    <t>http://dalptfs01:8080/tfs/ShawAppDev/_apis/projects/c2ce83c7-110c-4193-9709-6f4d8876aecb</t>
  </si>
  <si>
    <t>c2ce83c7-110c-4193-9709-6f4d8876aecb</t>
  </si>
  <si>
    <t>PrimaveraArchiver</t>
  </si>
  <si>
    <t>2019-09-26T08:42:26.81Z</t>
  </si>
  <si>
    <t>http://dalptfs01:8080/tfs/ShawAppDev/_apis/projects/65708e72-600c-4a9d-bb08-c3cd7a2d237a</t>
  </si>
  <si>
    <t>65708e72-600c-4a9d-bb08-c3cd7a2d237a</t>
  </si>
  <si>
    <t>EnVision</t>
  </si>
  <si>
    <t>2019-09-26T08:42:26.983Z</t>
  </si>
  <si>
    <t>http://dalptfs01:8080/tfs/ShawAppDev/_apis/projects/531d7b65-1ec8-41df-bf7b-8b6017825223</t>
  </si>
  <si>
    <t>531d7b65-1ec8-41df-bf7b-8b6017825223</t>
  </si>
  <si>
    <t>This folder contains the migrated ShawWeb2 Visual SourceSafe projects.</t>
  </si>
  <si>
    <t>VSS2</t>
  </si>
  <si>
    <t>2019-09-26T08:42:27.06Z</t>
  </si>
  <si>
    <t>http://dalptfs01:8080/tfs/ShawAppDev/_apis/projects/81c43738-fc1e-4aa3-a7f1-b62be39657a6</t>
  </si>
  <si>
    <t>81c43738-fc1e-4aa3-a7f1-b62be39657a6</t>
  </si>
  <si>
    <t>This is the Shaw Mobile App</t>
  </si>
  <si>
    <t>ShawOnTheGo</t>
  </si>
  <si>
    <t>2019-09-26T08:42:27.123Z</t>
  </si>
  <si>
    <t>http://dalptfs01:8080/tfs/ShawAppDev/_apis/projects/5819f121-3570-4d93-abfe-b272b14bb7d8</t>
  </si>
  <si>
    <t>5819f121-3570-4d93-abfe-b272b14bb7d8</t>
  </si>
  <si>
    <t>Plant Services Operational Dashboard</t>
  </si>
  <si>
    <t>2019-09-26T08:42:27.187Z</t>
  </si>
  <si>
    <t>http://dalptfs01:8080/tfs/ShawAppDev/_apis/projects/cdf439d5-434d-4e8d-8f88-6efd62d84f44</t>
  </si>
  <si>
    <t>cdf439d5-434d-4e8d-8f88-6efd62d84f44</t>
  </si>
  <si>
    <t>EquipmentForecast</t>
  </si>
  <si>
    <t>2019-09-26T08:42:27.247Z</t>
  </si>
  <si>
    <t>http://dalptfs01:8080/tfs/ShawAppDev/_apis/projects/06d1cdf9-e7c9-449a-a5c4-0015c508efd8</t>
  </si>
  <si>
    <t>06d1cdf9-e7c9-449a-a5c4-0015c508efd8</t>
  </si>
  <si>
    <t>ShawNet</t>
  </si>
  <si>
    <t>2019-09-26T08:42:27.327Z</t>
  </si>
  <si>
    <t>http://dalptfs01:8080/tfs/ShawAppDev/_apis/projects/f7e85ba9-bb29-41be-b712-be2e62e6ba24</t>
  </si>
  <si>
    <t>f7e85ba9-bb29-41be-b712-be2e62e6ba24</t>
  </si>
  <si>
    <t>CAE</t>
  </si>
  <si>
    <t>2019-09-26T08:42:27.39Z</t>
  </si>
  <si>
    <t>http://dalptfs01:8080/tfs/ShawAppDev/_apis/projects/b4ecba15-b845-48a6-acaf-f6f8010d0acc</t>
  </si>
  <si>
    <t>b4ecba15-b845-48a6-acaf-f6f8010d0acc</t>
  </si>
  <si>
    <t>ShawTube</t>
  </si>
  <si>
    <t>2019-09-26T08:42:27.45Z</t>
  </si>
  <si>
    <t>http://dalptfs01:8080/tfs/ShawAppDev/_apis/projects/ecbb4ed8-4920-49c6-b963-8c15062ecc07</t>
  </si>
  <si>
    <t>ecbb4ed8-4920-49c6-b963-8c15062ecc07</t>
  </si>
  <si>
    <t>ChangeManagement</t>
  </si>
  <si>
    <t>2019-09-26T08:42:27.497Z</t>
  </si>
  <si>
    <t>http://dalptfs01:8080/tfs/ShawAppDev/_apis/projects/79c03c4d-fff7-4d4e-b45b-aafc33362409</t>
  </si>
  <si>
    <t>79c03c4d-fff7-4d4e-b45b-aafc33362409</t>
  </si>
  <si>
    <t>Case Management</t>
  </si>
  <si>
    <t>2019-09-26T08:42:27.56Z</t>
  </si>
  <si>
    <t>http://dalptfs01:8080/tfs/ShawAppDev/_apis/projects/900b188d-34ff-479f-9bd9-96509d0dc812</t>
  </si>
  <si>
    <t>900b188d-34ff-479f-9bd9-96509d0dc812</t>
  </si>
  <si>
    <t>Mission Support Services</t>
  </si>
  <si>
    <t>2019-09-26T08:42:27.653Z</t>
  </si>
  <si>
    <t>http://dalptfs01:8080/tfs/ShawAppDev/_apis/projects/8e332223-05b4-4f7a-b8d9-be043a35b0d8</t>
  </si>
  <si>
    <t>8e332223-05b4-4f7a-b8d9-be043a35b0d8</t>
  </si>
  <si>
    <t>Shaw Systems</t>
  </si>
  <si>
    <t>2019-09-26T08:42:27.81Z</t>
  </si>
  <si>
    <t>http://dalptfs01:8080/tfs/ShawAppDev/_apis/projects/a163548e-29ce-4662-aa1e-bec1291d6e02</t>
  </si>
  <si>
    <t>a163548e-29ce-4662-aa1e-bec1291d6e02</t>
  </si>
  <si>
    <t>LummusOnline_v2</t>
  </si>
  <si>
    <t>2019-09-26T08:42:28.043Z</t>
  </si>
  <si>
    <t>http://dalptfs01:8080/tfs/ShawAppDev/_apis/projects/575dc5fc-4dd5-4013-865b-2d29006d4b58</t>
  </si>
  <si>
    <t>575dc5fc-4dd5-4013-865b-2d29006d4b58</t>
  </si>
  <si>
    <t>Automated PMRP</t>
  </si>
  <si>
    <t>2019-09-26T08:42:28.187Z</t>
  </si>
  <si>
    <t>http://dalptfs01:8080/tfs/ShawAppDev/_apis/projects/2579d650-fd7c-4d76-bfe6-e28f7b701cc7</t>
  </si>
  <si>
    <t>2579d650-fd7c-4d76-bfe6-e28f7b701cc7</t>
  </si>
  <si>
    <t>MarianJDE Interface</t>
  </si>
  <si>
    <t>2019-09-26T08:42:28.34Z</t>
  </si>
  <si>
    <t>http://dalptfs01:8080/tfs/ShawAppDev/_apis/projects/f886a060-7405-439b-b85e-b7073e416909</t>
  </si>
  <si>
    <t>f886a060-7405-439b-b85e-b7073e416909</t>
  </si>
  <si>
    <t>SPMP</t>
  </si>
  <si>
    <t>2019-09-26T08:42:28.497Z</t>
  </si>
  <si>
    <t>http://dalptfs01:8080/tfs/ShawAppDev/_apis/projects/70df08d3-7698-4a3d-95c0-3b733d0e7789</t>
  </si>
  <si>
    <t>70df08d3-7698-4a3d-95c0-3b733d0e7789</t>
  </si>
  <si>
    <t>ESTATS Project from VSS3</t>
  </si>
  <si>
    <t>SitePro_Corporate</t>
  </si>
  <si>
    <t>VSPotkuchi@mcdermott.com , whitney.thomas@mcdermott.com</t>
  </si>
  <si>
    <t>2024-09-13T08:02:17.347Z</t>
  </si>
  <si>
    <t>http://dalptfs01:8080/tfs/VS Projects/_apis/projects/f1db3e2b-533a-40ba-9fd4-d896052e4c60</t>
  </si>
  <si>
    <t>f1db3e2b-533a-40ba-9fd4-d896052e4c60</t>
  </si>
  <si>
    <t>Walmart</t>
  </si>
  <si>
    <t>2019-09-26T08:42:28.763Z</t>
  </si>
  <si>
    <t>http://dalptfs01:8080/tfs/ShawAppDev/_apis/projects/a5bd7b00-9de7-4d05-966d-7e2f53572ab2</t>
  </si>
  <si>
    <t>a5bd7b00-9de7-4d05-966d-7e2f53572ab2</t>
  </si>
  <si>
    <t>Cycle Count</t>
  </si>
  <si>
    <t>2019-09-26T08:42:28.903Z</t>
  </si>
  <si>
    <t>http://dalptfs01:8080/tfs/ShawAppDev/_apis/projects/80ba9cf0-a710-46c8-8f20-603d31ac756a</t>
  </si>
  <si>
    <t>80ba9cf0-a710-46c8-8f20-603d31ac756a</t>
  </si>
  <si>
    <t>AppDevRequests</t>
  </si>
  <si>
    <t>2019-09-26T08:42:28.997Z</t>
  </si>
  <si>
    <t>http://dalptfs01:8080/tfs/ShawAppDev/_apis/projects/2d392397-b369-4d1b-a695-cbff9a5c2d61</t>
  </si>
  <si>
    <t>2d392397-b369-4d1b-a695-cbff9a5c2d61</t>
  </si>
  <si>
    <t>2019-09-26T08:42:29.217Z</t>
  </si>
  <si>
    <t>http://dalptfs01:8080/tfs/ShawAppDev/_apis/projects/cb44c07c-fe5f-4dcd-96eb-6d24ec12f27a</t>
  </si>
  <si>
    <t>cb44c07c-fe5f-4dcd-96eb-6d24ec12f27a</t>
  </si>
  <si>
    <t>This will be used to track all promotions.</t>
  </si>
  <si>
    <t>Promotions</t>
  </si>
  <si>
    <t>2019-09-26T08:42:29.403Z</t>
  </si>
  <si>
    <t>http://dalptfs01:8080/tfs/ShawAppDev/_apis/projects/5d3b07de-cae0-4345-80ae-ce8521efac04</t>
  </si>
  <si>
    <t>5d3b07de-cae0-4345-80ae-ce8521efac04</t>
  </si>
  <si>
    <t>MS Access DBs</t>
  </si>
  <si>
    <t>2019-09-26T08:42:29.56Z</t>
  </si>
  <si>
    <t>http://dalptfs01:8080/tfs/ShawAppDev/_apis/projects/cb36e200-2587-4438-bd36-862d2b8c9787</t>
  </si>
  <si>
    <t>cb36e200-2587-4438-bd36-862d2b8c9787</t>
  </si>
  <si>
    <t>CRMS CMMI</t>
  </si>
  <si>
    <t>CRMS</t>
  </si>
  <si>
    <t>2019-09-26T08:42:29.84Z</t>
  </si>
  <si>
    <t>http://dalptfs01:8080/tfs/ShawAppDev/_apis/projects/a4bde8fb-ef4a-4188-9bec-3ffeba732ef0</t>
  </si>
  <si>
    <t>a4bde8fb-ef4a-4188-9bec-3ffeba732ef0</t>
  </si>
  <si>
    <t>Shaw Cable Manager is a Windows Smart Client application using the CAB Framework.</t>
  </si>
  <si>
    <t>Training Matrix</t>
  </si>
  <si>
    <t>07/26/2021</t>
  </si>
  <si>
    <t>vranjan@mcdermott.com, FRedrikana@mcdermott.com , DMSyauqi@mcdermott.com</t>
  </si>
  <si>
    <t>2021-07-26T14:15:51.047Z</t>
  </si>
  <si>
    <t>http://dalptfs01:8080/tfs/VS Projects/_apis/projects/72ec52a2-15fa-4ea3-9bab-10df4be84e62</t>
  </si>
  <si>
    <t>72ec52a2-15fa-4ea3-9bab-10df4be84e62</t>
  </si>
  <si>
    <t>TBE</t>
  </si>
  <si>
    <t>03/05/2020</t>
  </si>
  <si>
    <t>AAmar@mcdermott.com, FRedrikana@mcdermott.com , DMSyauqi@mcdermott.com</t>
  </si>
  <si>
    <t>2020-03-05T09:13:37.393Z</t>
  </si>
  <si>
    <t>http://dalptfs01:8080/tfs/VS Projects/_apis/projects/73c37a39-388f-446a-af60-a25a3ed438cf</t>
  </si>
  <si>
    <t>73c37a39-388f-446a-af60-a25a3ed438cf</t>
  </si>
  <si>
    <t>Supply Chain Projects</t>
  </si>
  <si>
    <t>SMat 8.2 Upgrade</t>
  </si>
  <si>
    <t>02/02/2021</t>
  </si>
  <si>
    <t>2021-02-02T17:56:44.597Z</t>
  </si>
  <si>
    <t>http://dalptfs01:8080/tfs/Supply Chain Projects/_apis/projects/f91b728c-268d-4f2f-a1d4-31c5fb4038cc</t>
  </si>
  <si>
    <t>http://dalptfs01:8080/tfs/_apis/projectCollections/d266ed56-7ae8-4354-9af2-fd06c962f394</t>
  </si>
  <si>
    <t>d266ed56-7ae8-4354-9af2-fd06c962f394</t>
  </si>
  <si>
    <t>f91b728c-268d-4f2f-a1d4-31c5fb4038cc</t>
  </si>
  <si>
    <t>Neuro</t>
  </si>
  <si>
    <t>2019-09-26T08:50:54.137Z</t>
  </si>
  <si>
    <t>http://dalptfs01:8080/tfs/VS Projects/_apis/projects/42d09b55-69ee-4bf0-bdae-aa68646cbc10</t>
  </si>
  <si>
    <t>42d09b55-69ee-4bf0-bdae-aa68646cbc10</t>
  </si>
  <si>
    <t>SqlDev</t>
  </si>
  <si>
    <t>2019-09-26T08:31:39.17Z</t>
  </si>
  <si>
    <t>http://dalptfs01:8080/tfs/SvnPlainfieldBld3/_apis/projects/115f1642-7800-4a81-b464-4d4209df4d2e</t>
  </si>
  <si>
    <t>115f1642-7800-4a81-b464-4d4209df4d2e</t>
  </si>
  <si>
    <t>SvnPlainfieldDev1</t>
  </si>
  <si>
    <t>Tools</t>
  </si>
  <si>
    <t>2019-09-26T08:34:04.593Z</t>
  </si>
  <si>
    <t>http://dalptfs01:8080/tfs/SvnPlainfieldDev1/_apis/projects/837471c1-6f95-4058-94d8-6d2093c80d3e</t>
  </si>
  <si>
    <t>http://dalptfs01:8080/tfs/_apis/projectCollections/e81df10b-c15d-43f5-9f5b-0f99bb76b7b7</t>
  </si>
  <si>
    <t>e81df10b-c15d-43f5-9f5b-0f99bb76b7b7</t>
  </si>
  <si>
    <t>837471c1-6f95-4058-94d8-6d2093c80d3e</t>
  </si>
  <si>
    <t>BottomLineImageExtract</t>
  </si>
  <si>
    <t>2019-09-26T08:34:04.687Z</t>
  </si>
  <si>
    <t>http://dalptfs01:8080/tfs/SvnPlainfieldDev1/_apis/projects/46fdc6f4-2acd-4b34-8ff8-ef3784aedffe</t>
  </si>
  <si>
    <t>46fdc6f4-2acd-4b34-8ff8-ef3784aedffe</t>
  </si>
  <si>
    <t>TimeEntry</t>
  </si>
  <si>
    <t>2019-09-26T08:34:05.343Z</t>
  </si>
  <si>
    <t>http://dalptfs01:8080/tfs/SvnPlainfieldDev1/_apis/projects/2b8b508b-0f3c-4445-b58c-a7591871de64</t>
  </si>
  <si>
    <t>2b8b508b-0f3c-4445-b58c-a7591871de64</t>
  </si>
  <si>
    <t>Tool List</t>
  </si>
  <si>
    <t>2019-09-26T08:34:05.403Z</t>
  </si>
  <si>
    <t>http://dalptfs01:8080/tfs/SvnPlainfieldDev1/_apis/projects/46cc417c-7ff1-40ab-8ef8-b130355f703a</t>
  </si>
  <si>
    <t>46cc417c-7ff1-40ab-8ef8-b130355f703a</t>
  </si>
  <si>
    <t>CostComparison</t>
  </si>
  <si>
    <t>2019-09-26T08:34:05.467Z</t>
  </si>
  <si>
    <t>http://dalptfs01:8080/tfs/SvnPlainfieldDev1/_apis/projects/b367b9e3-bf45-4b72-9bcd-85fe8d4574b9</t>
  </si>
  <si>
    <t>b367b9e3-bf45-4b72-9bcd-85fe8d4574b9</t>
  </si>
  <si>
    <t>Weld Builder</t>
  </si>
  <si>
    <t>2019-09-26T08:34:05.547Z</t>
  </si>
  <si>
    <t>http://dalptfs01:8080/tfs/SvnPlainfieldDev1/_apis/projects/ab35d9e6-5a9f-4bc0-a719-7b8d5ffa776f</t>
  </si>
  <si>
    <t>ab35d9e6-5a9f-4bc0-a719-7b8d5ffa776f</t>
  </si>
  <si>
    <t>SPM</t>
  </si>
  <si>
    <t>2019-09-26T08:34:05.623Z</t>
  </si>
  <si>
    <t>http://dalptfs01:8080/tfs/SvnPlainfieldDev1/_apis/projects/05ae3a28-d7bf-41bf-ad66-46b82eba0d95</t>
  </si>
  <si>
    <t>05ae3a28-d7bf-41bf-ad66-46b82eba0d95</t>
  </si>
  <si>
    <t>Security</t>
  </si>
  <si>
    <t>2019-09-26T08:34:05.67Z</t>
  </si>
  <si>
    <t>http://dalptfs01:8080/tfs/SvnPlainfieldDev1/_apis/projects/55757c0d-545f-488b-ad5b-96e6e11c2957</t>
  </si>
  <si>
    <t>55757c0d-545f-488b-ad5b-96e6e11c2957</t>
  </si>
  <si>
    <t>CDTech</t>
  </si>
  <si>
    <t>2019-09-26T08:34:05.75Z</t>
  </si>
  <si>
    <t>http://dalptfs01:8080/tfs/SvnPlainfieldDev1/_apis/projects/e98db9a1-c1b1-49e1-a777-b23604d2672c</t>
  </si>
  <si>
    <t>e98db9a1-c1b1-49e1-a777-b23604d2672c</t>
  </si>
  <si>
    <t>Data Monitor</t>
  </si>
  <si>
    <t>2019-09-26T08:34:05.81Z</t>
  </si>
  <si>
    <t>http://dalptfs01:8080/tfs/SvnPlainfieldDev1/_apis/projects/2607e848-1042-4b3a-bff0-ab0aafdb3a46</t>
  </si>
  <si>
    <t>2607e848-1042-4b3a-bff0-ab0aafdb3a46</t>
  </si>
  <si>
    <t>BacklogModels</t>
  </si>
  <si>
    <t>2019-09-26T08:34:05.873Z</t>
  </si>
  <si>
    <t>http://dalptfs01:8080/tfs/SvnPlainfieldDev1/_apis/projects/dc278882-2411-4ffe-a722-5ff223a4cd64</t>
  </si>
  <si>
    <t>dc278882-2411-4ffe-a722-5ff223a4cd64</t>
  </si>
  <si>
    <t>MiscApps</t>
  </si>
  <si>
    <t>2019-09-26T08:34:05.937Z</t>
  </si>
  <si>
    <t>http://dalptfs01:8080/tfs/SvnPlainfieldDev1/_apis/projects/5a442000-5244-4123-8f8d-b893ddbdb5db</t>
  </si>
  <si>
    <t>5a442000-5244-4123-8f8d-b893ddbdb5db</t>
  </si>
  <si>
    <t>KnowledgeManagement</t>
  </si>
  <si>
    <t>2019-09-26T08:34:06.013Z</t>
  </si>
  <si>
    <t>http://dalptfs01:8080/tfs/SvnPlainfieldDev1/_apis/projects/2a0a1202-c93d-428b-bff5-52a7c32e62ed</t>
  </si>
  <si>
    <t>2a0a1202-c93d-428b-bff5-52a7c32e62ed</t>
  </si>
  <si>
    <t>pdocs</t>
  </si>
  <si>
    <t>2019-09-26T08:34:06.11Z</t>
  </si>
  <si>
    <t>http://dalptfs01:8080/tfs/SvnPlainfieldDev1/_apis/projects/de2cbe94-cbc5-4df2-bdc1-d1fc307ddc20</t>
  </si>
  <si>
    <t>de2cbe94-cbc5-4df2-bdc1-d1fc307ddc20</t>
  </si>
  <si>
    <t>Installers</t>
  </si>
  <si>
    <t>2019-09-26T08:34:06.2Z</t>
  </si>
  <si>
    <t>http://dalptfs01:8080/tfs/SvnPlainfieldDev1/_apis/projects/14a782e9-fdf3-44f3-b38a-2f360950edaa</t>
  </si>
  <si>
    <t>14a782e9-fdf3-44f3-b38a-2f360950edaa</t>
  </si>
  <si>
    <t>JavaApps</t>
  </si>
  <si>
    <t>2019-09-26T08:34:06.28Z</t>
  </si>
  <si>
    <t>http://dalptfs01:8080/tfs/SvnPlainfieldDev1/_apis/projects/419b7fbc-5f53-411b-a432-d2da119e06a3</t>
  </si>
  <si>
    <t>419b7fbc-5f53-411b-a432-d2da119e06a3</t>
  </si>
  <si>
    <t>Training</t>
  </si>
  <si>
    <t>2019-09-26T08:34:06.343Z</t>
  </si>
  <si>
    <t>http://dalptfs01:8080/tfs/SvnPlainfieldDev1/_apis/projects/3081f971-3ed2-429d-9543-c09bb5c5dcfe</t>
  </si>
  <si>
    <t>3081f971-3ed2-429d-9543-c09bb5c5dcfe</t>
  </si>
  <si>
    <t>CBIWebRegistration</t>
  </si>
  <si>
    <t>2019-09-26T08:34:06.42Z</t>
  </si>
  <si>
    <t>http://dalptfs01:8080/tfs/SvnPlainfieldDev1/_apis/projects/97e63878-6def-4f4f-b7bc-2d3eaa19b6d7</t>
  </si>
  <si>
    <t>97e63878-6def-4f4f-b7bc-2d3eaa19b6d7</t>
  </si>
  <si>
    <t>ServiceAdmin</t>
  </si>
  <si>
    <t>2019-09-26T08:34:06.467Z</t>
  </si>
  <si>
    <t>http://dalptfs01:8080/tfs/SvnPlainfieldDev1/_apis/projects/e9d93e0d-2be7-4900-a41c-26ebdda17d68</t>
  </si>
  <si>
    <t>e9d93e0d-2be7-4900-a41c-26ebdda17d68</t>
  </si>
  <si>
    <t>zDEV</t>
  </si>
  <si>
    <t>Java Test</t>
  </si>
  <si>
    <t>2019-09-26T08:07:31.45Z</t>
  </si>
  <si>
    <t>http://dalptfs01:8080/tfs/zDEV/_apis/projects/b87684e2-e311-459a-9928-97f88d5915b5</t>
  </si>
  <si>
    <t>http://dalptfs01:8080/tfs/_apis/projectCollections/b56a702b-225a-45bd-8e56-7eb63b05cf68</t>
  </si>
  <si>
    <t>b56a702b-225a-45bd-8e56-7eb63b05cf68</t>
  </si>
  <si>
    <t>b87684e2-e311-459a-9928-97f88d5915b5</t>
  </si>
  <si>
    <t>a team project for Randy</t>
  </si>
  <si>
    <t>Randy Test</t>
  </si>
  <si>
    <t>2019-09-26T08:07:32.123Z</t>
  </si>
  <si>
    <t>http://dalptfs01:8080/tfs/zDEV/_apis/projects/f03e213f-44b8-455e-83ba-c7ac7f1ba311</t>
  </si>
  <si>
    <t>f03e213f-44b8-455e-83ba-c7ac7f1ba311</t>
  </si>
  <si>
    <t>Hyperion</t>
  </si>
  <si>
    <t>2019-09-26T08:34:06.547Z</t>
  </si>
  <si>
    <t>http://dalptfs01:8080/tfs/SvnPlainfieldDev1/_apis/projects/5de7d153-553a-430a-8ba5-ed0e11ef2aaf</t>
  </si>
  <si>
    <t>5de7d153-553a-430a-8ba5-ed0e11ef2aaf</t>
  </si>
  <si>
    <t>GraveYard</t>
  </si>
  <si>
    <t>2019-09-26T08:34:06.593Z</t>
  </si>
  <si>
    <t>http://dalptfs01:8080/tfs/SvnPlainfieldDev1/_apis/projects/843e0d62-5914-4cc2-83b1-3a8bca493241</t>
  </si>
  <si>
    <t>843e0d62-5914-4cc2-83b1-3a8bca493241</t>
  </si>
  <si>
    <t>MC2</t>
  </si>
  <si>
    <t>2019-09-26T08:34:06.653Z</t>
  </si>
  <si>
    <t>http://dalptfs01:8080/tfs/SvnPlainfieldDev1/_apis/projects/7d276f2e-a49f-421e-9277-300957c4bb2e</t>
  </si>
  <si>
    <t>7d276f2e-a49f-421e-9277-300957c4bb2e</t>
  </si>
  <si>
    <t>COA Conversions</t>
  </si>
  <si>
    <t>2019-09-26T08:34:06.717Z</t>
  </si>
  <si>
    <t>http://dalptfs01:8080/tfs/SvnPlainfieldDev1/_apis/projects/446b9af7-27a0-4bb7-b9b0-89091f5cbe66</t>
  </si>
  <si>
    <t>446b9af7-27a0-4bb7-b9b0-89091f5cbe66</t>
  </si>
  <si>
    <t>TimeEntryJointVenture</t>
  </si>
  <si>
    <t>2019-09-26T08:34:06.81Z</t>
  </si>
  <si>
    <t>http://dalptfs01:8080/tfs/SvnPlainfieldDev1/_apis/projects/7935da5f-fc04-45d9-9498-6b8a981e4814</t>
  </si>
  <si>
    <t>7935da5f-fc04-45d9-9498-6b8a981e4814</t>
  </si>
  <si>
    <t>MasterToolList</t>
  </si>
  <si>
    <t>2019-09-26T08:34:06.86Z</t>
  </si>
  <si>
    <t>http://dalptfs01:8080/tfs/SvnPlainfieldDev1/_apis/projects/efd62951-ced7-450e-9f94-ce3a441261b4</t>
  </si>
  <si>
    <t>efd62951-ced7-450e-9f94-ce3a441261b4</t>
  </si>
  <si>
    <t>WorkflowGen</t>
  </si>
  <si>
    <t>2019-09-26T08:34:06.92Z</t>
  </si>
  <si>
    <t>http://dalptfs01:8080/tfs/SvnPlainfieldDev1/_apis/projects/8b0d8d4a-6bd1-4859-8c0b-1ca9413c3752</t>
  </si>
  <si>
    <t>8b0d8d4a-6bd1-4859-8c0b-1ca9413c3752</t>
  </si>
  <si>
    <t>SecurityService</t>
  </si>
  <si>
    <t>2019-09-26T08:34:06.983Z</t>
  </si>
  <si>
    <t>http://dalptfs01:8080/tfs/SvnPlainfieldDev1/_apis/projects/1d0b1ba6-ddf4-43b2-8fdb-caf2b19b0451</t>
  </si>
  <si>
    <t>1d0b1ba6-ddf4-43b2-8fdb-caf2b19b0451</t>
  </si>
  <si>
    <t>Test</t>
  </si>
  <si>
    <t>2019-09-26T08:34:07.06Z</t>
  </si>
  <si>
    <t>http://dalptfs01:8080/tfs/SvnPlainfieldDev1/_apis/projects/547fcb37-e6e2-407f-bfa6-bf030d9a1bcb</t>
  </si>
  <si>
    <t>547fcb37-e6e2-407f-bfa6-bf030d9a1bcb</t>
  </si>
  <si>
    <t>CBIMerchandise</t>
  </si>
  <si>
    <t>2019-09-26T08:34:07.123Z</t>
  </si>
  <si>
    <t>http://dalptfs01:8080/tfs/SvnPlainfieldDev1/_apis/projects/c1efae2a-b0a5-4cc9-a20f-617ae7c041f1</t>
  </si>
  <si>
    <t>c1efae2a-b0a5-4cc9-a20f-617ae7c041f1</t>
  </si>
  <si>
    <t>SeparationOfDuties</t>
  </si>
  <si>
    <t>2019-09-26T08:34:07.17Z</t>
  </si>
  <si>
    <t>http://dalptfs01:8080/tfs/SvnPlainfieldDev1/_apis/projects/5c5d6e12-8ab8-45de-ad3e-c395d5de8201</t>
  </si>
  <si>
    <t>5c5d6e12-8ab8-45de-ad3e-c395d5de8201</t>
  </si>
  <si>
    <t>OpenEnrollment</t>
  </si>
  <si>
    <t>2019-09-26T08:34:07.25Z</t>
  </si>
  <si>
    <t>http://dalptfs01:8080/tfs/SvnPlainfieldDev1/_apis/projects/b40a7a2b-bc14-4e60-9f5e-1e6c7d552889</t>
  </si>
  <si>
    <t>b40a7a2b-bc14-4e60-9f5e-1e6c7d552889</t>
  </si>
  <si>
    <t>ScanStationFilewatcher</t>
  </si>
  <si>
    <t>2019-09-26T08:34:07.31Z</t>
  </si>
  <si>
    <t>http://dalptfs01:8080/tfs/SvnPlainfieldDev1/_apis/projects/e9e190e5-cfe4-4164-a2e8-3992c4076b29</t>
  </si>
  <si>
    <t>e9e190e5-cfe4-4164-a2e8-3992c4076b29</t>
  </si>
  <si>
    <t>Builds</t>
  </si>
  <si>
    <t>2019-09-26T08:34:07.39Z</t>
  </si>
  <si>
    <t>http://dalptfs01:8080/tfs/SvnPlainfieldDev1/_apis/projects/288951e4-ae8c-46e2-9581-a67dcfcbd514</t>
  </si>
  <si>
    <t>288951e4-ae8c-46e2-9581-a67dcfcbd514</t>
  </si>
  <si>
    <t>VolunteerTracking</t>
  </si>
  <si>
    <t>2019-09-26T08:34:07.483Z</t>
  </si>
  <si>
    <t>http://dalptfs01:8080/tfs/SvnPlainfieldDev1/_apis/projects/8b9fa44a-6f00-4838-b82a-cc7477bc7146</t>
  </si>
  <si>
    <t>8b9fa44a-6f00-4838-b82a-cc7477bc7146</t>
  </si>
  <si>
    <t>Common</t>
  </si>
  <si>
    <t>2019-09-26T08:34:07.56Z</t>
  </si>
  <si>
    <t>http://dalptfs01:8080/tfs/SvnPlainfieldDev1/_apis/projects/85c23218-4174-4606-9473-e881a9472ced</t>
  </si>
  <si>
    <t>85c23218-4174-4606-9473-e881a9472ced</t>
  </si>
  <si>
    <t>SitePro</t>
  </si>
  <si>
    <t>2019-09-26T08:34:07.64Z</t>
  </si>
  <si>
    <t>http://dalptfs01:8080/tfs/SvnPlainfieldDev1/_apis/projects/4bc273b0-ceef-4f9c-910d-b30889fccdf1</t>
  </si>
  <si>
    <t>4bc273b0-ceef-4f9c-910d-b30889fccdf1</t>
  </si>
  <si>
    <t>ProjectSchedules</t>
  </si>
  <si>
    <t>2019-09-26T08:34:07.733Z</t>
  </si>
  <si>
    <t>http://dalptfs01:8080/tfs/SvnPlainfieldDev1/_apis/projects/73ca5cf5-4a60-439e-a1c2-02fdf3e2a6f0</t>
  </si>
  <si>
    <t>73ca5cf5-4a60-439e-a1c2-02fdf3e2a6f0</t>
  </si>
  <si>
    <t>HROnlineOrientation</t>
  </si>
  <si>
    <t>2019-09-26T08:34:07.81Z</t>
  </si>
  <si>
    <t>http://dalptfs01:8080/tfs/SvnPlainfieldDev1/_apis/projects/4f1d024a-698c-4293-a223-19ac9922dc25</t>
  </si>
  <si>
    <t>4f1d024a-698c-4293-a223-19ac9922dc25</t>
  </si>
  <si>
    <t>ITCostTracking</t>
  </si>
  <si>
    <t>2019-09-26T08:34:07.89Z</t>
  </si>
  <si>
    <t>http://dalptfs01:8080/tfs/SvnPlainfieldDev1/_apis/projects/0391f726-7ac8-4040-af4e-2a6b14993ac2</t>
  </si>
  <si>
    <t>0391f726-7ac8-4040-af4e-2a6b14993ac2</t>
  </si>
  <si>
    <t>DocumentService</t>
  </si>
  <si>
    <t>2019-09-26T08:34:07.983Z</t>
  </si>
  <si>
    <t>http://dalptfs01:8080/tfs/SvnPlainfieldDev1/_apis/projects/b761402b-9865-489e-b343-7ac66c968864</t>
  </si>
  <si>
    <t>b761402b-9865-489e-b343-7ac66c968864</t>
  </si>
  <si>
    <t>DelphiApps</t>
  </si>
  <si>
    <t>2019-09-26T08:34:08.17Z</t>
  </si>
  <si>
    <t>http://dalptfs01:8080/tfs/SvnPlainfieldDev1/_apis/projects/04463882-b4aa-4f35-9ff5-d1dc3395d0fd</t>
  </si>
  <si>
    <t>04463882-b4aa-4f35-9ff5-d1dc3395d0fd</t>
  </si>
  <si>
    <t>PowerBuilderApps</t>
  </si>
  <si>
    <t>2019-09-26T08:34:08.217Z</t>
  </si>
  <si>
    <t>http://dalptfs01:8080/tfs/SvnPlainfieldDev1/_apis/projects/ba6976af-5606-4022-bab7-8f8b2b5eafd3</t>
  </si>
  <si>
    <t>ba6976af-5606-4022-bab7-8f8b2b5eafd3</t>
  </si>
  <si>
    <t>GPSDataFeed</t>
  </si>
  <si>
    <t>2019-09-26T08:34:08.28Z</t>
  </si>
  <si>
    <t>http://dalptfs01:8080/tfs/SvnPlainfieldDev1/_apis/projects/11eacf5d-f480-48cb-876e-82d5138625f5</t>
  </si>
  <si>
    <t>11eacf5d-f480-48cb-876e-82d5138625f5</t>
  </si>
  <si>
    <t>iTimeLabor</t>
  </si>
  <si>
    <t>2019-09-26T08:34:08.343Z</t>
  </si>
  <si>
    <t>http://dalptfs01:8080/tfs/SvnPlainfieldDev1/_apis/projects/54396c33-b3b8-4ee7-9c60-948a20862166</t>
  </si>
  <si>
    <t>54396c33-b3b8-4ee7-9c60-948a20862166</t>
  </si>
  <si>
    <t>AccountingService</t>
  </si>
  <si>
    <t>2019-09-26T08:34:08.403Z</t>
  </si>
  <si>
    <t>http://dalptfs01:8080/tfs/SvnPlainfieldDev1/_apis/projects/7268dcf8-6484-4a05-bce5-6ed4d3bf756c</t>
  </si>
  <si>
    <t>7268dcf8-6484-4a05-bce5-6ed4d3bf756c</t>
  </si>
  <si>
    <t>GPS</t>
  </si>
  <si>
    <t>2019-09-26T08:34:08.483Z</t>
  </si>
  <si>
    <t>http://dalptfs01:8080/tfs/SvnPlainfieldDev1/_apis/projects/08137ec3-1a72-4cd1-8bde-6e20d7d86361</t>
  </si>
  <si>
    <t>08137ec3-1a72-4cd1-8bde-6e20d7d86361</t>
  </si>
  <si>
    <t>VPRM</t>
  </si>
  <si>
    <t>2019-09-26T08:34:08.53Z</t>
  </si>
  <si>
    <t>http://dalptfs01:8080/tfs/SvnPlainfieldDev1/_apis/projects/b1812173-81de-4d74-a051-4fe32ea5d462</t>
  </si>
  <si>
    <t>b1812173-81de-4d74-a051-4fe32ea5d462</t>
  </si>
  <si>
    <t>SmartPlantMaterials</t>
  </si>
  <si>
    <t>2019-09-26T08:34:08.593Z</t>
  </si>
  <si>
    <t>http://dalptfs01:8080/tfs/SvnPlainfieldDev1/_apis/projects/93719392-d78a-4a7f-bf7a-3b2c7421b99e</t>
  </si>
  <si>
    <t>93719392-d78a-4a7f-bf7a-3b2c7421b99e</t>
  </si>
  <si>
    <t>This program was retired in 2019. The source code was never found as it had not been used in over 10 years. No current executable was found either.</t>
  </si>
  <si>
    <t>TCOE</t>
  </si>
  <si>
    <t>SPMAT</t>
  </si>
  <si>
    <t>2019-10-25T17:00:18.42Z</t>
  </si>
  <si>
    <t>http://dalptfs01:8080/tfs/TCOE/_apis/projects/65558c5b-745c-472a-a94a-1e2a49b1fc5a</t>
  </si>
  <si>
    <t>http://dalptfs01:8080/tfs/_apis/projectCollections/2573fff1-764d-455e-b68d-f18376dfb3eb</t>
  </si>
  <si>
    <t>2573fff1-764d-455e-b68d-f18376dfb3eb</t>
  </si>
  <si>
    <t>65558c5b-745c-472a-a94a-1e2a49b1fc5a</t>
  </si>
  <si>
    <t>Test Collection</t>
  </si>
  <si>
    <t>Test Project</t>
  </si>
  <si>
    <t>09/22/2023</t>
  </si>
  <si>
    <t>2023-09-22T13:08:37.73Z</t>
  </si>
  <si>
    <t>http://dalptfs01:8080/tfs/Test Collection/_apis/projects/a15a1800-b9ff-4606-be2e-fc0e131d37b0</t>
  </si>
  <si>
    <t>http://dalptfs01:8080/tfs/_apis/projectCollections/9ad37997-441c-43fa-988d-fe97389ec7e3</t>
  </si>
  <si>
    <t>9ad37997-441c-43fa-988d-fe97389ec7e3</t>
  </si>
  <si>
    <t>a15a1800-b9ff-4606-be2e-fc0e131d37b0</t>
  </si>
  <si>
    <t>MMS</t>
  </si>
  <si>
    <t>2019-10-25T17:00:59.347Z</t>
  </si>
  <si>
    <t>http://dalptfs01:8080/tfs/Test Collection/_apis/projects/e62843aa-cb15-42b7-b23a-aadd022e7805</t>
  </si>
  <si>
    <t>e62843aa-cb15-42b7-b23a-aadd022e7805</t>
  </si>
  <si>
    <t>DumP_The_Ex</t>
  </si>
  <si>
    <t>2019-10-25T17:01:00.397Z</t>
  </si>
  <si>
    <t>http://dalptfs01:8080/tfs/Test Collection/_apis/projects/2c512954-5cc8-4159-b16d-d8d8a48941cb</t>
  </si>
  <si>
    <t>2c512954-5cc8-4159-b16d-d8d8a48941cb</t>
  </si>
  <si>
    <t>Warehouse Inventory Control System</t>
  </si>
  <si>
    <t>WinCS</t>
  </si>
  <si>
    <t>2019-10-25T17:01:01.223Z</t>
  </si>
  <si>
    <t>http://dalptfs01:8080/tfs/Test Collection/_apis/projects/d4ebb588-7c50-426f-b0d7-0610bc7222d0</t>
  </si>
  <si>
    <t>d4ebb588-7c50-426f-b0d7-0610bc7222d0</t>
  </si>
  <si>
    <t>Simple Geometric Operation</t>
  </si>
  <si>
    <t>Shapes</t>
  </si>
  <si>
    <t>2019-10-25T17:01:05.337Z</t>
  </si>
  <si>
    <t>http://dalptfs01:8080/tfs/Test Collection/_apis/projects/c0698a79-857a-4dfc-870f-f77e106fc11a</t>
  </si>
  <si>
    <t>c0698a79-857a-4dfc-870f-f77e106fc11a</t>
  </si>
  <si>
    <t>EDMS1</t>
  </si>
  <si>
    <t>2019-10-25T17:01:05.527Z</t>
  </si>
  <si>
    <t>http://dalptfs01:8080/tfs/Test Collection/_apis/projects/cd530a0c-958c-4dc3-b166-e13449c07881</t>
  </si>
  <si>
    <t>cd530a0c-958c-4dc3-b166-e13449c07881</t>
  </si>
  <si>
    <t>Test container for financial projects</t>
  </si>
  <si>
    <t>TimeEntry Projects</t>
  </si>
  <si>
    <t>2019-10-25T17:01:06.31Z</t>
  </si>
  <si>
    <t>http://dalptfs01:8080/tfs/Test Collection/_apis/projects/e315be9d-efc0-4029-95f7-d3143dae218a</t>
  </si>
  <si>
    <t>e315be9d-efc0-4029-95f7-d3143dae218a</t>
  </si>
  <si>
    <t>Financial</t>
  </si>
  <si>
    <t>2019-10-25T17:01:06.51Z</t>
  </si>
  <si>
    <t>http://dalptfs01:8080/tfs/Test Collection/_apis/projects/23b470aa-a20c-4ded-9130-7f0a3f939aae</t>
  </si>
  <si>
    <t>23b470aa-a20c-4ded-9130-7f0a3f939aae</t>
  </si>
  <si>
    <t>AJ-Test</t>
  </si>
  <si>
    <t>2019-10-25T17:01:07.157Z</t>
  </si>
  <si>
    <t>http://dalptfs01:8080/tfs/Test Collection/_apis/projects/8355627f-78c4-49b5-8502-04ad770911a4</t>
  </si>
  <si>
    <t>8355627f-78c4-49b5-8502-04ad770911a4</t>
  </si>
  <si>
    <t>Engineering application container - Asia Pacific</t>
  </si>
  <si>
    <t>AP-ENGINEERING</t>
  </si>
  <si>
    <t>2019-10-25T17:01:07.603Z</t>
  </si>
  <si>
    <t>http://dalptfs01:8080/tfs/Test Collection/_apis/projects/ad639619-4e03-491b-b547-e2e92e065db5</t>
  </si>
  <si>
    <t>ad639619-4e03-491b-b547-e2e92e065db5</t>
  </si>
  <si>
    <t>Selwyn Test</t>
  </si>
  <si>
    <t>2019-10-25T17:01:07.793Z</t>
  </si>
  <si>
    <t>http://dalptfs01:8080/tfs/Test Collection/_apis/projects/986a08bd-cc6f-472d-9e2f-564a96dfa72d</t>
  </si>
  <si>
    <t>986a08bd-cc6f-472d-9e2f-564a96dfa72d</t>
  </si>
  <si>
    <t>Housing application for warehouse, material, and Traffic</t>
  </si>
  <si>
    <t>PTMI_LOGISTIC</t>
  </si>
  <si>
    <t>2019-10-25T17:01:08.157Z</t>
  </si>
  <si>
    <t>http://dalptfs01:8080/tfs/Test Collection/_apis/projects/6c8e45ce-018c-42c5-9b97-6e65d5f0dd9f</t>
  </si>
  <si>
    <t>6c8e45ce-018c-42c5-9b97-6e65d5f0dd9f</t>
  </si>
  <si>
    <t>PTMI_Engineering_Software</t>
  </si>
  <si>
    <t>2019-10-25T17:01:09.987Z</t>
  </si>
  <si>
    <t>http://dalptfs01:8080/tfs/Test Collection/_apis/projects/63022423-bdca-4cf5-93bf-fd606486faeb</t>
  </si>
  <si>
    <t>63022423-bdca-4cf5-93bf-fd606486faeb</t>
  </si>
  <si>
    <t>Olives</t>
  </si>
  <si>
    <t>2019-10-25T17:01:14.59Z</t>
  </si>
  <si>
    <t>http://dalptfs01:8080/tfs/Test Collection/_apis/projects/1aa7e6a5-3913-48c9-9663-0b5f18bbb413</t>
  </si>
  <si>
    <t>1aa7e6a5-3913-48c9-9663-0b5f18bbb413</t>
  </si>
  <si>
    <t>EFM</t>
  </si>
  <si>
    <t>2019-10-25T17:01:15.14Z</t>
  </si>
  <si>
    <t>http://dalptfs01:8080/tfs/Test Collection/_apis/projects/77866173-25c1-4d57-a445-7c382e6aef62</t>
  </si>
  <si>
    <t>77866173-25c1-4d57-a445-7c382e6aef62</t>
  </si>
  <si>
    <t>ITER</t>
  </si>
  <si>
    <t>2019-10-25T17:01:15.873Z</t>
  </si>
  <si>
    <t>http://dalptfs01:8080/tfs/Test Collection/_apis/projects/d4f8a6cf-e6ce-4675-8915-6f94a4911df2</t>
  </si>
  <si>
    <t>d4f8a6cf-e6ce-4675-8915-6f94a4911df2</t>
  </si>
  <si>
    <t>This is CICD test Project</t>
  </si>
  <si>
    <t>Bobbi-Test</t>
  </si>
  <si>
    <t>05/20/2020</t>
  </si>
  <si>
    <t>2020-05-20T08:35:22.107Z</t>
  </si>
  <si>
    <t>http://dalptfs01:8080/tfs/Test Collection/_apis/projects/1b716ccb-e1a3-466c-aa27-cac576a88918</t>
  </si>
  <si>
    <t>1b716ccb-e1a3-466c-aa27-cac576a88918</t>
  </si>
  <si>
    <t>DubiTestFinacialsProjects</t>
  </si>
  <si>
    <t>2019-10-25T17:01:05.763Z</t>
  </si>
  <si>
    <t>http://dalptfs01:8080/tfs/Test Collection/_apis/projects/15c814f4-aa5b-430e-a504-72e36555d82e</t>
  </si>
  <si>
    <t>15c814f4-aa5b-430e-a504-72e36555d82e</t>
  </si>
  <si>
    <t>The container for all time entry related systems</t>
  </si>
  <si>
    <t>01/27/2021</t>
  </si>
  <si>
    <t>2021-01-27T16:03:21.603Z</t>
  </si>
  <si>
    <t>http://dalptfs01:8080/tfs/Test Collection/_apis/projects/f1740916-3177-4b13-812c-60ec1a6fcc0e</t>
  </si>
  <si>
    <t>f1740916-3177-4b13-812c-60ec1a6fcc0e</t>
  </si>
  <si>
    <t>Dummy Project - The Experiment</t>
  </si>
  <si>
    <t>Sewlyn Test</t>
  </si>
  <si>
    <t>2019-10-25T17:01:08.583Z</t>
  </si>
  <si>
    <t>http://dalptfs01:8080/tfs/Test Collection/_apis/projects/d813c9db-ad9a-4230-a666-7254a70457ed</t>
  </si>
  <si>
    <t>d813c9db-ad9a-4230-a666-7254a70457ed</t>
  </si>
  <si>
    <t>Financials</t>
  </si>
  <si>
    <t>2019-10-25T17:01:08.933Z</t>
  </si>
  <si>
    <t>http://dalptfs01:8080/tfs/Test Collection/_apis/projects/84f39022-026b-4a68-b0c8-8fce081ddeff</t>
  </si>
  <si>
    <t>84f39022-026b-4a68-b0c8-8fce081ddeff</t>
  </si>
  <si>
    <t>Literally ...</t>
  </si>
  <si>
    <t>Dummy_PTMI_Project</t>
  </si>
  <si>
    <t>2019-10-25T17:01:09.213Z</t>
  </si>
  <si>
    <t>http://dalptfs01:8080/tfs/Test Collection/_apis/projects/73ae7e9c-38d9-4e92-bfbe-532f0334b110</t>
  </si>
  <si>
    <t>73ae7e9c-38d9-4e92-bfbe-532f0334b110</t>
  </si>
  <si>
    <t>A group of applications developed for local PTMI Engineering.
Note : This is a sample container.</t>
  </si>
  <si>
    <t>Sports-Test</t>
  </si>
  <si>
    <t>2019-10-25T17:01:14.383Z</t>
  </si>
  <si>
    <t>http://dalptfs01:8080/tfs/Test Collection/_apis/projects/a1e364d7-4940-41ff-8e2e-ce44c20f102b</t>
  </si>
  <si>
    <t>a1e364d7-4940-41ff-8e2e-ce44c20f102b</t>
  </si>
  <si>
    <t>2019-10-25T17:01:14.927Z</t>
  </si>
  <si>
    <t>http://dalptfs01:8080/tfs/Test Collection/_apis/projects/b856e38a-f1af-45b5-ab74-649e66f6c775</t>
  </si>
  <si>
    <t>b856e38a-f1af-45b5-ab74-649e66f6c775</t>
  </si>
  <si>
    <t>MSF for CMMI Process Improvement v5.0</t>
  </si>
  <si>
    <t>2019-10-25T17:01:15.723Z</t>
  </si>
  <si>
    <t>http://dalptfs01:8080/tfs/Test Collection/_apis/projects/e1ef7e95-c1fd-4dc2-bae8-15b40587ad6e</t>
  </si>
  <si>
    <t>e1ef7e95-c1fd-4dc2-bae8-15b40587ad6e</t>
  </si>
  <si>
    <t>CICDTestProject</t>
  </si>
  <si>
    <t>11/12/2019</t>
  </si>
  <si>
    <t>2019-11-12T11:47:21.343Z</t>
  </si>
  <si>
    <t>http://dalptfs01:8080/tfs/Test Collection/_apis/projects/7fd11f45-ad78-4b46-9573-afde8a550d94</t>
  </si>
  <si>
    <t>7fd11f45-ad78-4b46-9573-afde8a550d94</t>
  </si>
  <si>
    <t>This team project holds the source code that was migrated from the Subversion repository on \\plainfield-bld3\C:\Repositories\dev".  The code was migrated from that location into this team project  in Q4 2015 using the Timely Migrations tool.  This team pr</t>
  </si>
  <si>
    <t>PROMT - Risk and Opportunity Application Project</t>
  </si>
  <si>
    <t>06/05/2024</t>
  </si>
  <si>
    <t>Unknown Reviewer</t>
  </si>
  <si>
    <t>2024-06-05T15:11:59.677Z</t>
  </si>
  <si>
    <t>http://dalptfs01:8080/tfs/VS Projects/_apis/projects/0b7fb356-8d2a-4044-b4d7-bf8003913f60</t>
  </si>
  <si>
    <t>0b7fb356-8d2a-4044-b4d7-bf8003913f60</t>
  </si>
  <si>
    <t>COMMON</t>
  </si>
  <si>
    <t>scott.harmon@cbi.com , Santhosh.V.Kumar@mcdermott.com</t>
  </si>
  <si>
    <t>2019-09-26T08:50:54.26Z</t>
  </si>
  <si>
    <t>http://dalptfs01:8080/tfs/VS Projects/_apis/projects/8a4b2481-dd9f-4887-bf6d-dfbb9307cf6b</t>
  </si>
  <si>
    <t>8a4b2481-dd9f-4887-bf6d-dfbb9307cf6b</t>
  </si>
  <si>
    <t>Resumes</t>
  </si>
  <si>
    <t>2019-09-26T08:50:54.197Z</t>
  </si>
  <si>
    <t>http://dalptfs01:8080/tfs/VS Projects/_apis/projects/061ecda7-0a72-4c7a-a7ff-8edb338a68e0</t>
  </si>
  <si>
    <t>061ecda7-0a72-4c7a-a7ff-8edb338a68e0</t>
  </si>
  <si>
    <t>Common ultility shared among multiple solutions/applications</t>
  </si>
  <si>
    <t>CrossSellingApp</t>
  </si>
  <si>
    <t>2019-09-26T08:50:54.37Z</t>
  </si>
  <si>
    <t>http://dalptfs01:8080/tfs/VS Projects/_apis/projects/3df3c148-c4bf-4d87-991b-6b8993a8b7d4</t>
  </si>
  <si>
    <t>3df3c148-c4bf-4d87-991b-6b8993a8b7d4</t>
  </si>
  <si>
    <t>LummusOnline rebuild attached to iDocs.</t>
  </si>
  <si>
    <t>LutechJobs</t>
  </si>
  <si>
    <t>2019-09-26T08:50:54.323Z</t>
  </si>
  <si>
    <t>http://dalptfs01:8080/tfs/VS Projects/_apis/projects/ae0b3a21-7ccc-46df-a126-43b1b8422083</t>
  </si>
  <si>
    <t>ae0b3a21-7ccc-46df-a126-43b1b8422083</t>
  </si>
  <si>
    <t>This is a Interface for Cross Selling Mobile App</t>
  </si>
  <si>
    <t>AD_SnowIntegration</t>
  </si>
  <si>
    <t>2019-09-26T08:50:54.54Z</t>
  </si>
  <si>
    <t>http://dalptfs01:8080/tfs/VS Projects/_apis/projects/977ddf5e-caf5-4a4b-96f0-f19619a65f23</t>
  </si>
  <si>
    <t>977ddf5e-caf5-4a4b-96f0-f19619a65f23</t>
  </si>
  <si>
    <t>Team project for all solutions built for AS400 product line</t>
  </si>
  <si>
    <t>JDE_TimeWorksIntegration</t>
  </si>
  <si>
    <t>2019-09-26T08:50:54.493Z</t>
  </si>
  <si>
    <t>http://dalptfs01:8080/tfs/VS Projects/_apis/projects/98c3ac99-84a1-4f8f-86e5-b629c07cd4b2</t>
  </si>
  <si>
    <t>98c3ac99-84a1-4f8f-86e5-b629c07cd4b2</t>
  </si>
  <si>
    <t>AS400</t>
  </si>
  <si>
    <t>Santhosh.V.Kumar@mcdermott.com , Abhisek.Munshi@mcdermott.com</t>
  </si>
  <si>
    <t>2019-09-26T08:50:54.603Z</t>
  </si>
  <si>
    <t>http://dalptfs01:8080/tfs/VS Projects/_apis/projects/01e74d1d-6e89-4a1f-81c8-c0dca1b724d4</t>
  </si>
  <si>
    <t>01e74d1d-6e89-4a1f-81c8-c0dca1b724d4</t>
  </si>
  <si>
    <t>CBI Knowhow</t>
  </si>
  <si>
    <t>2019-09-26T08:50:55.12Z</t>
  </si>
  <si>
    <t>http://dalptfs01:8080/tfs/VS Projects/_apis/projects/6168167f-4025-4b7b-b724-e6abd7658319</t>
  </si>
  <si>
    <t>6168167f-4025-4b7b-b724-e6abd7658319</t>
  </si>
  <si>
    <t>McDermott uses various timekeeping system for capturing project/labor/equipment man-hours.  Offshore business primary use Kronos with its front end applications (FTE and GTE) whereas onshore business use Timeworks with Electronic Time System (ETS), Web Time Entry (WTE) and iTime.  This heterogeneous combination of time system impacts the execution and performance of new MOPEX model . 
The purpose of this request is to address the need of PMC, to drive efficiency in MOPEX projects by on-time cost visibility and productivity in the existing system landscape</t>
  </si>
  <si>
    <t>MPP(Man Power Planning)</t>
  </si>
  <si>
    <t>2019-09-26T08:50:54.667Z</t>
  </si>
  <si>
    <t>http://dalptfs01:8080/tfs/VS Projects/_apis/projects/87c7da27-9faa-4c8c-8238-a8ad02b00fa0</t>
  </si>
  <si>
    <t>87c7da27-9faa-4c8c-8238-a8ad02b00fa0</t>
  </si>
  <si>
    <t>Selenium script for automation</t>
  </si>
  <si>
    <t>Alfresco</t>
  </si>
  <si>
    <t>01/11/2023</t>
  </si>
  <si>
    <t>2023-01-11T06:36:47.07Z</t>
  </si>
  <si>
    <t>http://dalptfs01:8080/tfs/VS Projects/_apis/projects/d04be7cd-77c4-43f9-9499-545cd86290c7</t>
  </si>
  <si>
    <t>d04be7cd-77c4-43f9-9499-545cd86290c7</t>
  </si>
  <si>
    <t>United Way</t>
  </si>
  <si>
    <t>2019-09-26T08:50:54.777Z</t>
  </si>
  <si>
    <t>http://dalptfs01:8080/tfs/VS Projects/_apis/projects/452ddadf-a977-47c0-bd44-54f30730b371</t>
  </si>
  <si>
    <t>452ddadf-a977-47c0-bd44-54f30730b371</t>
  </si>
  <si>
    <t>a collection of solutions that interface with Hyperion</t>
  </si>
  <si>
    <t>Hyperion Interface</t>
  </si>
  <si>
    <t>2019-09-26T08:50:54.84Z</t>
  </si>
  <si>
    <t>http://dalptfs01:8080/tfs/VS Projects/_apis/projects/bc686dde-fb59-425a-94f9-fe5a183caeaa</t>
  </si>
  <si>
    <t>bc686dde-fb59-425a-94f9-fe5a183caeaa</t>
  </si>
  <si>
    <t>A team project to hold all of the archived SVN repositories</t>
  </si>
  <si>
    <t>CableManager</t>
  </si>
  <si>
    <t>2019-09-26T08:50:54.947Z</t>
  </si>
  <si>
    <t>http://dalptfs01:8080/tfs/VS Projects/_apis/projects/9e40f233-09a8-4793-b9f0-289369cb5978</t>
  </si>
  <si>
    <t>9e40f233-09a8-4793-b9f0-289369cb5978</t>
  </si>
  <si>
    <t>Installer programs</t>
  </si>
  <si>
    <t>2019-09-26T08:50:55.01Z</t>
  </si>
  <si>
    <t>http://dalptfs01:8080/tfs/VS Projects/_apis/projects/e897dc4e-7a3b-484b-8144-53884722dbff</t>
  </si>
  <si>
    <t>e897dc4e-7a3b-484b-8144-53884722dbff</t>
  </si>
  <si>
    <t>One location for all SSIS packages we have to CBI and WEC</t>
  </si>
  <si>
    <t>SSISStack</t>
  </si>
  <si>
    <t>2019-09-26T08:50:55.073Z</t>
  </si>
  <si>
    <t>http://dalptfs01:8080/tfs/VS Projects/_apis/projects/59e0dd90-02b7-4021-a3b6-9d22a3186886</t>
  </si>
  <si>
    <t>59e0dd90-02b7-4021-a3b6-9d22a3186886</t>
  </si>
  <si>
    <t>CB&amp;I's company Intranet portal</t>
  </si>
  <si>
    <t>CAR</t>
  </si>
  <si>
    <t>10/03/2019</t>
  </si>
  <si>
    <t>Santhosh.V.Kumar@mcdermott.com , Abhisek.Munshi@mcdermott.com, manisha.rawat@mcdermott.com</t>
  </si>
  <si>
    <t>2019-10-03T14:57:16.053Z</t>
  </si>
  <si>
    <t>http://dalptfs01:8080/tfs/VS Projects/_apis/projects/2886245a-31cd-4919-8d41-d4e4bb58c34a</t>
  </si>
  <si>
    <t>2886245a-31cd-4919-8d41-d4e4bb58c34a</t>
  </si>
  <si>
    <t>Production PMCS Team project</t>
  </si>
  <si>
    <t>PMCS</t>
  </si>
  <si>
    <t>Abhisek.Munshi@mcdermott.com, FRedrikana@mcdermott.com , Smrutilipsa.Nayak@mcdermott.com</t>
  </si>
  <si>
    <t>2019-09-26T08:50:55.243Z</t>
  </si>
  <si>
    <t>http://dalptfs01:8080/tfs/VS Projects/_apis/projects/413b1dbf-2ed3-4de9-8b93-a1865b655160</t>
  </si>
  <si>
    <t>413b1dbf-2ed3-4de9-8b93-a1865b655160</t>
  </si>
  <si>
    <t>DocuSign</t>
  </si>
  <si>
    <t>2019-09-26T08:50:55.307Z</t>
  </si>
  <si>
    <t>http://dalptfs01:8080/tfs/VS Projects/_apis/projects/069898e3-087e-4ed6-a6b1-c11eae125d79</t>
  </si>
  <si>
    <t>069898e3-087e-4ed6-a6b1-c11eae125d79</t>
  </si>
  <si>
    <t>Modularize and upgrade Smart 3D Catalog Offshore Configuration ” (PRJ0037858)
To view the current sprint task board, go to Boards &gt; Sprints &gt; Taskboard</t>
  </si>
  <si>
    <t>2019-09-26T08:50:55.48Z</t>
  </si>
  <si>
    <t>http://dalptfs01:8080/tfs/VS Projects/_apis/projects/c080822b-3654-4809-b7cc-2d4fb8585d23</t>
  </si>
  <si>
    <t>c080822b-3654-4809-b7cc-2d4fb8585d23</t>
  </si>
  <si>
    <t>AssignmentPro Rest API calls</t>
  </si>
  <si>
    <t>MiscellaneousApps</t>
  </si>
  <si>
    <t>2019-09-26T08:50:55.353Z</t>
  </si>
  <si>
    <t>http://dalptfs01:8080/tfs/VS Projects/_apis/projects/b56e3352-7c44-4230-af44-1cc2f2d4bab3</t>
  </si>
  <si>
    <t>b56e3352-7c44-4230-af44-1cc2f2d4bab3</t>
  </si>
  <si>
    <t>AssignmentPro API</t>
  </si>
  <si>
    <t>2019-09-26T08:50:55.54Z</t>
  </si>
  <si>
    <t>http://dalptfs01:8080/tfs/VS Projects/_apis/projects/309a2d2b-104e-48c2-b032-fe61235d1d67</t>
  </si>
  <si>
    <t>309a2d2b-104e-48c2-b032-fe61235d1d67</t>
  </si>
  <si>
    <t>Migrated from Subversion.  Project team lead - Karen Palagi, Roger Sim</t>
  </si>
  <si>
    <t>2019-09-26T08:50:55.603Z</t>
  </si>
  <si>
    <t>http://dalptfs01:8080/tfs/VS Projects/_apis/projects/20094061-53d9-44a8-aa0b-9333f440b7a6</t>
  </si>
  <si>
    <t>20094061-53d9-44a8-aa0b-9333f440b7a6</t>
  </si>
  <si>
    <t>GTMS</t>
  </si>
  <si>
    <t>sa.sxb3@mcdermott.com , Santhosh.V.Kumar@mcdermott.com</t>
  </si>
  <si>
    <t>2019-09-26T08:50:55.84Z</t>
  </si>
  <si>
    <t>http://dalptfs01:8080/tfs/VS Projects/_apis/projects/a9ccf774-d1bf-40a6-a68a-9d4fae3121b2</t>
  </si>
  <si>
    <t>a9ccf774-d1bf-40a6-a68a-9d4fae3121b2</t>
  </si>
  <si>
    <t>SpoolGen_TWI_Interface</t>
  </si>
  <si>
    <t>2019-09-26T08:50:55.73Z</t>
  </si>
  <si>
    <t>http://dalptfs01:8080/tfs/VS Projects/_apis/projects/fb20e872-e6b2-4788-9806-ff0674d03896</t>
  </si>
  <si>
    <t>fb20e872-e6b2-4788-9806-ff0674d03896</t>
  </si>
  <si>
    <t>This is a team project for managing custom TFS artifacts such as Process templates, build templates, reports, etc.</t>
  </si>
  <si>
    <t>Modularize and upgrade Smart 3D Catalog Offshore Configuration</t>
  </si>
  <si>
    <t>01/26/2021</t>
  </si>
  <si>
    <t>2021-01-26T18:56:33.78Z</t>
  </si>
  <si>
    <t>http://dalptfs01:8080/tfs/VS Projects/_apis/projects/a5831374-1080-42a4-8b89-672e70d94e01</t>
  </si>
  <si>
    <t>a5831374-1080-42a4-8b89-672e70d94e01</t>
  </si>
  <si>
    <t>A container for small, miscellaneous applications</t>
  </si>
  <si>
    <t>TFS</t>
  </si>
  <si>
    <t>2019-09-26T08:50:55.777Z</t>
  </si>
  <si>
    <t>http://dalptfs01:8080/tfs/VS Projects/_apis/projects/e8ff20ed-772e-4d91-8bcb-7d6ccf2de6de</t>
  </si>
  <si>
    <t>e8ff20ed-772e-4d91-8bcb-7d6ccf2de6de</t>
  </si>
  <si>
    <t>Global Treasury Management System</t>
  </si>
  <si>
    <t>EmployeeMobilityInterface</t>
  </si>
  <si>
    <t>2019-09-26T08:50:56.103Z</t>
  </si>
  <si>
    <t>http://dalptfs01:8080/tfs/VS Projects/_apis/projects/b265326a-5d7c-436b-b6b0-00096a47bb68</t>
  </si>
  <si>
    <t>b265326a-5d7c-436b-b6b0-00096a47bb68</t>
  </si>
  <si>
    <t>PreBillInvoiceService</t>
  </si>
  <si>
    <t>2019-09-26T08:50:55.887Z</t>
  </si>
  <si>
    <t>http://dalptfs01:8080/tfs/VS Projects/_apis/projects/d39fb419-8690-45f2-9f81-b3ce2393663f</t>
  </si>
  <si>
    <t>d39fb419-8690-45f2-9f81-b3ce2393663f</t>
  </si>
  <si>
    <t>Processes the scans from Remark scaners for HSE and imports to a SQL DB.</t>
  </si>
  <si>
    <t>Remark File Processor</t>
  </si>
  <si>
    <t>2019-09-26T08:50:55.947Z</t>
  </si>
  <si>
    <t>http://dalptfs01:8080/tfs/VS Projects/_apis/projects/ebef728f-85cc-41a8-90e2-87f2aa289427</t>
  </si>
  <si>
    <t>ebef728f-85cc-41a8-90e2-87f2aa289427</t>
  </si>
  <si>
    <t>Technical Bid Evaluation</t>
  </si>
  <si>
    <t>BroadSpireSFTP</t>
  </si>
  <si>
    <t>2019-09-26T08:50:56.01Z</t>
  </si>
  <si>
    <t>http://dalptfs01:8080/tfs/VS Projects/_apis/projects/dd637ed7-55d5-47fc-87a6-6281940182ef</t>
  </si>
  <si>
    <t>dd637ed7-55d5-47fc-87a6-6281940182ef</t>
  </si>
  <si>
    <t>Delphi application.  We are only uisng TFS to track Bill release issues</t>
  </si>
  <si>
    <t>UBS</t>
  </si>
  <si>
    <t>2019-09-26T08:50:56.057Z</t>
  </si>
  <si>
    <t>http://dalptfs01:8080/tfs/VS Projects/_apis/projects/6b834ee1-7ecd-42e2-b916-f8273371d9c7</t>
  </si>
  <si>
    <t>6b834ee1-7ecd-42e2-b916-f8273371d9c7</t>
  </si>
  <si>
    <t>JDE E1</t>
  </si>
  <si>
    <t>2019-09-26T08:50:56.167Z</t>
  </si>
  <si>
    <t>http://dalptfs01:8080/tfs/VS Projects/_apis/projects/a9d3ff5f-e68b-4f49-badb-bffd1fa228c4</t>
  </si>
  <si>
    <t>a9d3ff5f-e68b-4f49-badb-bffd1fa228c4</t>
  </si>
  <si>
    <t>PeopleSoftLenelIntegration</t>
  </si>
  <si>
    <t>trina.hua@mcdermott.com</t>
  </si>
  <si>
    <t>2019-09-26T08:50:56.277Z</t>
  </si>
  <si>
    <t>http://dalptfs01:8080/tfs/VS Projects/_apis/projects/f77120a1-5867-42fe-a313-a974242b3462</t>
  </si>
  <si>
    <t>f77120a1-5867-42fe-a313-a974242b3462</t>
  </si>
  <si>
    <t>ConcurAssignPro</t>
  </si>
  <si>
    <t>2019-09-26T08:50:56.23Z</t>
  </si>
  <si>
    <t>http://dalptfs01:8080/tfs/VS Projects/_apis/projects/9d0ef1ca-4d79-46fb-8ff5-246963b4eead</t>
  </si>
  <si>
    <t>9d0ef1ca-4d79-46fb-8ff5-246963b4eead</t>
  </si>
  <si>
    <t>iTimeLabor_Packages</t>
  </si>
  <si>
    <t xml:space="preserve">vranjan@mcdermott.com </t>
  </si>
  <si>
    <t>2019-09-26T08:50:56.447Z</t>
  </si>
  <si>
    <t>http://dalptfs01:8080/tfs/VS Projects/_apis/projects/336cb6eb-cfeb-4bff-977f-f74f9940614e</t>
  </si>
  <si>
    <t>336cb6eb-cfeb-4bff-977f-f74f9940614e</t>
  </si>
  <si>
    <t>CameronERS</t>
  </si>
  <si>
    <t>Project Time Analytics</t>
  </si>
  <si>
    <t>2020-05-20T11:11:15.963Z</t>
  </si>
  <si>
    <t>http://dalptfs01:8080/tfs/VS Projects/_apis/projects/846ffa3a-a5d5-49e9-b4e6-e6865e22d165</t>
  </si>
  <si>
    <t>846ffa3a-a5d5-49e9-b4e6-e6865e22d165</t>
  </si>
  <si>
    <t>Capital Asset Request</t>
  </si>
  <si>
    <t>CBIRequestBroker</t>
  </si>
  <si>
    <t>2019-09-26T08:50:56.34Z</t>
  </si>
  <si>
    <t>http://dalptfs01:8080/tfs/VS Projects/_apis/projects/3d6f234a-291b-4421-9fc1-13dbc36b552d</t>
  </si>
  <si>
    <t>3d6f234a-291b-4421-9fc1-13dbc36b552d</t>
  </si>
  <si>
    <t>NCSA Analytics</t>
  </si>
  <si>
    <t>07/20/2020</t>
  </si>
  <si>
    <t>2020-07-20T04:20:09.573Z</t>
  </si>
  <si>
    <t>http://dalptfs01:8080/tfs/VS Projects/_apis/projects/9256a826-662a-400d-b0e7-eed07007818c</t>
  </si>
  <si>
    <t>9256a826-662a-400d-b0e7-eed07007818c</t>
  </si>
  <si>
    <t>MRCSFTPProcess</t>
  </si>
  <si>
    <t>2019-09-26T08:50:56.387Z</t>
  </si>
  <si>
    <t>http://dalptfs01:8080/tfs/VS Projects/_apis/projects/feec7d12-917f-47f3-a69a-689d44338df8</t>
  </si>
  <si>
    <t>feec7d12-917f-47f3-a69a-689d44338df8</t>
  </si>
  <si>
    <t>This Project contains iTimeLabor Packages and Code.</t>
  </si>
  <si>
    <t>Trip Notice</t>
  </si>
  <si>
    <t>manisha.rawat@mcdermott.com,Abhisek.Munshi@mcdermott.com</t>
  </si>
  <si>
    <t>vranjan@mcdermott.com , manisha.rawat@mcdermott.com</t>
  </si>
  <si>
    <t>GAMS app</t>
  </si>
  <si>
    <t>2019-09-26T08:50:56.683Z</t>
  </si>
  <si>
    <t>http://dalptfs01:8080/tfs/VS Projects/_apis/projects/583c2eb2-9114-4c13-afa1-d56f49918c62</t>
  </si>
  <si>
    <t>583c2eb2-9114-4c13-afa1-d56f49918c62</t>
  </si>
  <si>
    <t>A team project for workflowgen applications</t>
  </si>
  <si>
    <t>2019-09-26T08:50:56.51Z</t>
  </si>
  <si>
    <t>http://dalptfs01:8080/tfs/VS Projects/_apis/projects/53a513d0-afd1-44ae-ab9c-f07b5bd5565d</t>
  </si>
  <si>
    <t>53a513d0-afd1-44ae-ab9c-f07b5bd5565d</t>
  </si>
  <si>
    <t>2019-09-26T08:50:56.557Z</t>
  </si>
  <si>
    <t>http://dalptfs01:8080/tfs/VS Projects/_apis/projects/d395f8ed-f7a3-407d-9ee5-29812046fe98</t>
  </si>
  <si>
    <t>d395f8ed-f7a3-407d-9ee5-29812046fe98</t>
  </si>
  <si>
    <t>test import of PMCS</t>
  </si>
  <si>
    <t>PMCSTest</t>
  </si>
  <si>
    <t>2019-09-26T08:50:56.62Z</t>
  </si>
  <si>
    <t>http://dalptfs01:8080/tfs/VS Projects/_apis/projects/c919d57b-c224-4da3-8ffe-19774bc4105c</t>
  </si>
  <si>
    <t>c919d57b-c224-4da3-8ffe-19774bc4105c</t>
  </si>
  <si>
    <t>for NCSA Analytics Project SCRUM Management</t>
  </si>
  <si>
    <t>BottomlineImageExtract</t>
  </si>
  <si>
    <t>Abhisek.Munshi@mcdermott.com, Santhosh.V.Kumar@mcdermott.com</t>
  </si>
  <si>
    <t>2019-09-26T08:50:56.79Z</t>
  </si>
  <si>
    <t>http://dalptfs01:8080/tfs/VS Projects/_apis/projects/fdf3c9c8-487c-472f-b699-961a0d7c0e03</t>
  </si>
  <si>
    <t>fdf3c9c8-487c-472f-b699-961a0d7c0e03</t>
  </si>
  <si>
    <t>WorkFlowGen</t>
  </si>
  <si>
    <t>2019-09-26T08:50:56.743Z</t>
  </si>
  <si>
    <t>http://dalptfs01:8080/tfs/VS Projects/_apis/projects/33a5717a-0f39-4c3c-8d65-1edb8b5b3928</t>
  </si>
  <si>
    <t>33a5717a-0f39-4c3c-8d65-1edb8b5b3928</t>
  </si>
  <si>
    <t>WebTimeEntry_Upgraded</t>
  </si>
  <si>
    <t>ZMohammad@mcdermott.com, manisha.rawat@mcdermott.com</t>
  </si>
  <si>
    <t>GAMS App</t>
  </si>
  <si>
    <t>2019-09-26T08:50:56.963Z</t>
  </si>
  <si>
    <t>http://dalptfs01:8080/tfs/VS Projects/_apis/projects/c281e791-c5c8-421c-9c6c-290153aa52e7</t>
  </si>
  <si>
    <t>c281e791-c5c8-421c-9c6c-290153aa52e7</t>
  </si>
  <si>
    <t>COAAttributeLookUp</t>
  </si>
  <si>
    <t>PMCSQA</t>
  </si>
  <si>
    <t>2019-09-26T08:50:56.917Z</t>
  </si>
  <si>
    <t>http://dalptfs01:8080/tfs/VS Projects/_apis/projects/2a07c2b8-4a3b-4582-9b23-481b4a885e6c</t>
  </si>
  <si>
    <t>2a07c2b8-4a3b-4582-9b23-481b4a885e6c</t>
  </si>
  <si>
    <t>WebTimeEntry AOP 2019 version</t>
  </si>
  <si>
    <t>Bortstar Neuro</t>
  </si>
  <si>
    <t>2019-09-26T08:50:57.073Z</t>
  </si>
  <si>
    <t>http://dalptfs01:8080/tfs/VS Projects/_apis/projects/69b8def4-51ce-4b9e-b346-09f0e1ac01e2</t>
  </si>
  <si>
    <t>69b8def4-51ce-4b9e-b346-09f0e1ac01e2</t>
  </si>
  <si>
    <t>Project to manage Administrative tasks used for TimeEntry</t>
  </si>
  <si>
    <t>2019-09-26T08:50:57.027Z</t>
  </si>
  <si>
    <t>http://dalptfs01:8080/tfs/VS Projects/_apis/projects/e8270d57-df7b-4e45-8656-07391b416e4c</t>
  </si>
  <si>
    <t>e8270d57-df7b-4e45-8656-07391b416e4c</t>
  </si>
  <si>
    <t>Neuro Project Code Base for Borstar</t>
  </si>
  <si>
    <t>LOA Portal</t>
  </si>
  <si>
    <t>2019-09-26T08:50:57.277Z</t>
  </si>
  <si>
    <t>http://dalptfs01:8080/tfs/VS Projects/_apis/projects/973d2a26-a497-46f9-aa48-07c7715a67b3</t>
  </si>
  <si>
    <t>973d2a26-a497-46f9-aa48-07c7715a67b3</t>
  </si>
  <si>
    <t>migrating from crpbtrtfs01\MarianJDE Interface \Trunk</t>
  </si>
  <si>
    <t>PSRArchiveService</t>
  </si>
  <si>
    <t>2019-09-26T08:50:57.197Z</t>
  </si>
  <si>
    <t>http://dalptfs01:8080/tfs/VS Projects/_apis/projects/b5237ede-5114-448f-8829-d7551c285254</t>
  </si>
  <si>
    <t>b5237ede-5114-448f-8829-d7551c285254</t>
  </si>
  <si>
    <t>This folder would contain both Web and API .</t>
  </si>
  <si>
    <t>ResourceLibrary</t>
  </si>
  <si>
    <t>2019-09-26T08:50:57.4Z</t>
  </si>
  <si>
    <t>http://dalptfs01:8080/tfs/VS Projects/_apis/projects/96b755bf-4190-493d-a482-9631dd94032d</t>
  </si>
  <si>
    <t>96b755bf-4190-493d-a482-9631dd94032d</t>
  </si>
  <si>
    <t>A team project to contain all JDE-Interface related solutions</t>
  </si>
  <si>
    <t>SPM-E1</t>
  </si>
  <si>
    <t>2019-09-26T08:50:57.323Z</t>
  </si>
  <si>
    <t>http://dalptfs01:8080/tfs/VS Projects/_apis/projects/09630e60-88e9-4a8f-afac-b6fdfeb49377</t>
  </si>
  <si>
    <t>09630e60-88e9-4a8f-afac-b6fdfeb49377</t>
  </si>
  <si>
    <t>JDE-Interface</t>
  </si>
  <si>
    <t>2019-09-26T08:50:57.447Z</t>
  </si>
  <si>
    <t>http://dalptfs01:8080/tfs/VS Projects/_apis/projects/f29f99cf-c655-433f-afab-73e28eca7466</t>
  </si>
  <si>
    <t>f29f99cf-c655-433f-afab-73e28eca7466</t>
  </si>
  <si>
    <t>Audit programs\reports to track Hyperion access</t>
  </si>
  <si>
    <t>WebTimeEntry</t>
  </si>
  <si>
    <t>2019-09-26T08:50:57.573Z</t>
  </si>
  <si>
    <t>http://dalptfs01:8080/tfs/VS Projects/_apis/projects/a76c9477-73f3-44b6-a9f6-9d3a1fe12cf8</t>
  </si>
  <si>
    <t>a76c9477-73f3-44b6-a9f6-9d3a1fe12cf8</t>
  </si>
  <si>
    <t>2019-09-26T08:50:57.51Z</t>
  </si>
  <si>
    <t>http://dalptfs01:8080/tfs/VS Projects/_apis/projects/6a34c494-63c1-4e89-90d0-4e83faf55935</t>
  </si>
  <si>
    <t>6a34c494-63c1-4e89-90d0-4e83faf55935</t>
  </si>
  <si>
    <t>TFS Project for Web Time Entry</t>
  </si>
  <si>
    <t>Abhisek.Munshi@mcdermott.com, Smrutilipsa.Nayak@mcdermott.com</t>
  </si>
  <si>
    <t>2019-09-26T08:50:57.713Z</t>
  </si>
  <si>
    <t>http://dalptfs01:8080/tfs/VS Projects/_apis/projects/c930a76c-762e-47a7-b4a4-ec44cfaf460b</t>
  </si>
  <si>
    <t>c930a76c-762e-47a7-b4a4-ec44cfaf460b</t>
  </si>
  <si>
    <t>SPC Offshore Code Base
SitePro Git Repo</t>
  </si>
  <si>
    <t>CBI_PAC</t>
  </si>
  <si>
    <t>2019-09-26T08:50:57.637Z</t>
  </si>
  <si>
    <t>http://dalptfs01:8080/tfs/VS Projects/_apis/projects/ec7a21a2-1713-48e9-97a9-b6860ad7dde6</t>
  </si>
  <si>
    <t>ec7a21a2-1713-48e9-97a9-b6860ad7dde6</t>
  </si>
  <si>
    <t>Imported from Subversion</t>
  </si>
  <si>
    <t>2019-09-26T08:50:57.9Z</t>
  </si>
  <si>
    <t>http://dalptfs01:8080/tfs/VS Projects/_apis/projects/6d8a79ae-df5f-4726-9341-d9722c4df77e</t>
  </si>
  <si>
    <t>6d8a79ae-df5f-4726-9341-d9722c4df77e</t>
  </si>
  <si>
    <t>Equential</t>
  </si>
  <si>
    <t>2019-09-26T08:50:57.777Z</t>
  </si>
  <si>
    <t>http://dalptfs01:8080/tfs/VS Projects/_apis/projects/9572034a-ba4a-4ef0-a68b-7397804abb48</t>
  </si>
  <si>
    <t>9572034a-ba4a-4ef0-a68b-7397804abb48</t>
  </si>
  <si>
    <t>Uniform Billing System Visibility (Oracle, AS400)</t>
  </si>
  <si>
    <t>AD Interfaces</t>
  </si>
  <si>
    <t>2019-09-26T08:50:58.4Z</t>
  </si>
  <si>
    <t>http://dalptfs01:8080/tfs/VS Projects/_apis/projects/c8cbdb66-9e7d-4dbb-b332-28fc86b4856b</t>
  </si>
  <si>
    <t>c8cbdb66-9e7d-4dbb-b332-28fc86b4856b</t>
  </si>
  <si>
    <t>Placeholder for all SSO Code</t>
  </si>
  <si>
    <t>Qualys API</t>
  </si>
  <si>
    <t>2019-09-26T08:50:57.963Z</t>
  </si>
  <si>
    <t>http://dalptfs01:8080/tfs/VS Projects/_apis/projects/078f8ec5-a287-49a4-ab40-cba2c59a5f0f</t>
  </si>
  <si>
    <t>078f8ec5-a287-49a4-ab40-cba2c59a5f0f</t>
  </si>
  <si>
    <t>Project to combine XLS files for the RDFC (Run Down Forecast) for Fab Services.</t>
  </si>
  <si>
    <t>RDFC Combine</t>
  </si>
  <si>
    <t>2019-09-26T08:50:58.027Z</t>
  </si>
  <si>
    <t>http://dalptfs01:8080/tfs/VS Projects/_apis/projects/357c1591-caf6-417c-8144-91ac416149b5</t>
  </si>
  <si>
    <t>357c1591-caf6-417c-8144-91ac416149b5</t>
  </si>
  <si>
    <t>EquiFaxSFTPProcess</t>
  </si>
  <si>
    <t>2019-09-26T08:50:58.09Z</t>
  </si>
  <si>
    <t>http://dalptfs01:8080/tfs/VS Projects/_apis/projects/eb31a1b9-8973-4cac-9bb4-13ae6cbfab96</t>
  </si>
  <si>
    <t>eb31a1b9-8973-4cac-9bb4-13ae6cbfab96</t>
  </si>
  <si>
    <t>BMS_Utiliation</t>
  </si>
  <si>
    <t>2019-09-26T08:50:58.197Z</t>
  </si>
  <si>
    <t>http://dalptfs01:8080/tfs/VS Projects/_apis/projects/3bc648ff-58b5-4b65-a4fa-1beb93a610b8</t>
  </si>
  <si>
    <t>3bc648ff-58b5-4b65-a4fa-1beb93a610b8</t>
  </si>
  <si>
    <t>ProjectEquipment</t>
  </si>
  <si>
    <t>2019-09-26T08:50:58.26Z</t>
  </si>
  <si>
    <t>http://dalptfs01:8080/tfs/VS Projects/_apis/projects/5ff7448f-36a6-41cb-bc03-13b475184e18</t>
  </si>
  <si>
    <t>5ff7448f-36a6-41cb-bc03-13b475184e18</t>
  </si>
  <si>
    <t>SitePro code managed by IT Fabrication &amp; construction</t>
  </si>
  <si>
    <t>AveksaAdmin</t>
  </si>
  <si>
    <t>2019-09-26T08:50:58.323Z</t>
  </si>
  <si>
    <t>http://dalptfs01:8080/tfs/VS Projects/_apis/projects/5019c37c-b937-4070-9aa6-97bd11540cbd</t>
  </si>
  <si>
    <t>5019c37c-b937-4070-9aa6-97bd11540cbd</t>
  </si>
  <si>
    <t>Project for AD interfaces.</t>
  </si>
  <si>
    <t>SSOProject</t>
  </si>
  <si>
    <t>2019-09-26T08:50:58.463Z</t>
  </si>
  <si>
    <t>http://dalptfs01:8080/tfs/VS Projects/_apis/projects/a6c706a0-530b-4550-b395-8ba889e0f200</t>
  </si>
  <si>
    <t>a6c706a0-530b-4550-b395-8ba889e0f200</t>
  </si>
  <si>
    <t>10/20/2020</t>
  </si>
  <si>
    <t>2020-10-20T19:52:49.057Z</t>
  </si>
  <si>
    <t>http://dalptfs01:8080/tfs/VS Projects/_apis/projects/b5edbf9e-42e6-4cdd-a1b6-6d6c8893348d</t>
  </si>
  <si>
    <t>b5edbf9e-42e6-4cdd-a1b6-6d6c8893348d</t>
  </si>
  <si>
    <t>It will be used to store the POC solutions for future reference</t>
  </si>
  <si>
    <t>zSVNArchive</t>
  </si>
  <si>
    <t>2019-09-26T08:50:54.9Z</t>
  </si>
  <si>
    <t>http://dalptfs01:8080/tfs/VS Projects/_apis/projects/f77385f8-c02c-4b2b-8c96-8db13b82094c</t>
  </si>
  <si>
    <t>f77385f8-c02c-4b2b-8c96-8db13b82094c</t>
  </si>
  <si>
    <t>This is the legacy shaw cable manager</t>
  </si>
  <si>
    <t>EmployeeRecordSystem</t>
  </si>
  <si>
    <t>2019-09-26T08:50:55.65Z</t>
  </si>
  <si>
    <t>http://dalptfs01:8080/tfs/VS Projects/_apis/projects/08caf871-ad56-4042-b96b-442c459c9346</t>
  </si>
  <si>
    <t>08caf871-ad56-4042-b96b-442c459c9346</t>
  </si>
  <si>
    <t>Cross Selling</t>
  </si>
  <si>
    <t>2019-09-26T08:50:56.853Z</t>
  </si>
  <si>
    <t>http://dalptfs01:8080/tfs/VS Projects/_apis/projects/358266ad-f05e-479f-b9d9-e2a8d784f881</t>
  </si>
  <si>
    <t>358266ad-f05e-479f-b9d9-e2a8d784f881</t>
  </si>
  <si>
    <t>This is a production team project for the PMCSQA application.  PMCSQA is a application that automates the process of setting up a QA environment.  It will scramble the data, create the test database, etc.</t>
  </si>
  <si>
    <t>ADMIN</t>
  </si>
  <si>
    <t>2019-09-26T08:50:57.137Z</t>
  </si>
  <si>
    <t>http://dalptfs01:8080/tfs/VS Projects/_apis/projects/ac333546-e8eb-4b3a-b06e-761b083c9740</t>
  </si>
  <si>
    <t>ac333546-e8eb-4b3a-b06e-761b083c9740</t>
  </si>
  <si>
    <t>UBS Visibility</t>
  </si>
  <si>
    <t>2019-09-26T08:50:57.84Z</t>
  </si>
  <si>
    <t>http://dalptfs01:8080/tfs/VS Projects/_apis/projects/838ac4fa-530a-4fb5-a044-b0fe0fa06891</t>
  </si>
  <si>
    <t>838ac4fa-530a-4fb5-a044-b0fe0fa06891</t>
  </si>
  <si>
    <t>a sandbox for developers/users to train, try things out, etc</t>
  </si>
  <si>
    <t>Research Work</t>
  </si>
  <si>
    <t>05/21/2021</t>
  </si>
  <si>
    <t>FRedrikana@mcdermott.com , manisha.rawat@mcdermott.com</t>
  </si>
  <si>
    <t>2021-05-21T15:09:05.97Z</t>
  </si>
  <si>
    <t>http://dalptfs01:8080/tfs/VS Projects/_apis/projects/fa848b23-85f8-462c-a94a-d9f9e304c656</t>
  </si>
  <si>
    <t>fa848b23-85f8-462c-a94a-d9f9e304c656</t>
  </si>
  <si>
    <t>TestUtilities</t>
  </si>
  <si>
    <t>2019-09-26T08:50:58.137Z</t>
  </si>
  <si>
    <t>http://dalptfs01:8080/tfs/VS Projects/_apis/projects/e800dbd2-d2a2-494b-89c0-4826a6366742</t>
  </si>
  <si>
    <t>e800dbd2-d2a2-494b-89c0-4826a6366742</t>
  </si>
  <si>
    <t>Smart Calcs Excel Add-in</t>
  </si>
  <si>
    <t>2019-09-26T08:03:00.937Z</t>
  </si>
  <si>
    <t>http://dalptfs01:8080/tfs/Lummus Technology  Group Project/_apis/projects/0ef81006-f308-4999-91eb-49e38b2a62b0</t>
  </si>
  <si>
    <t>0ef81006-f308-4999-91eb-49e38b2a62b0</t>
  </si>
  <si>
    <t>Automation</t>
  </si>
  <si>
    <t>07/20/2021</t>
  </si>
  <si>
    <t>2021-07-20T08:05:58.47Z</t>
  </si>
  <si>
    <t>http://dalptfs01:8080/tfs/VS Projects/_apis/projects/0e045d32-2dfa-427a-8b0b-921c87d8ab15</t>
  </si>
  <si>
    <t>0e045d32-2dfa-427a-8b0b-921c87d8ab15</t>
  </si>
  <si>
    <t>SPCWeb</t>
  </si>
  <si>
    <t>10/06/2021</t>
  </si>
  <si>
    <t>Akshay.Singh@mcdermott.com, manisha.rawat@mcdermott.com</t>
  </si>
  <si>
    <t>2021-10-06T09:46:14.4Z</t>
  </si>
  <si>
    <t>http://dalptfs01:8080/tfs/VS Projects/_apis/projects/4a1076d3-f3b5-44b2-8c1a-8a17ec8e90fe</t>
  </si>
  <si>
    <t>4a1076d3-f3b5-44b2-8c1a-8a17ec8e90fe</t>
  </si>
  <si>
    <t>Web application for the Logistics Oportunity Assesment entry.</t>
  </si>
  <si>
    <t>12/05/2022</t>
  </si>
  <si>
    <t>vranjan@mcdermott.com, whitney.thomas@mcdermott.com , Santhosh.V.Kumar@mcdermott.com</t>
  </si>
  <si>
    <t>2022-12-05T10:42:27.32Z</t>
  </si>
  <si>
    <t>http://dalptfs01:8080/tfs/VS Projects/_apis/projects/01efa781-2ff9-479d-b2f7-f5279d2f1dba</t>
  </si>
  <si>
    <t>01efa781-2ff9-479d-b2f7-f5279d2f1dba</t>
  </si>
  <si>
    <t>FromENID Excel Add-in</t>
  </si>
  <si>
    <t>10/17/2019</t>
  </si>
  <si>
    <t>2019-10-17T14:50:57.637Z</t>
  </si>
  <si>
    <t>http://dalptfs01:8080/tfs/Lummus Technology  Group Project/_apis/projects/b4d21a0e-e643-4357-a0fb-92317975ed25</t>
  </si>
  <si>
    <t>b4d21a0e-e643-4357-a0fb-92317975ed25</t>
  </si>
  <si>
    <t>TANKS</t>
  </si>
  <si>
    <t>Rakesh.Dhummi@mcdermott.com; Amit.Prasad@mcdermott.com; Deepthi.Rapolu@mcdermott.com; manisha.rawat@mcdermott.com</t>
  </si>
  <si>
    <t>Carson.Daspit@cbi.com; Dimitar.Dimitrov@cbi.com; Samarpan.Banerjee@mcdermott.com; abelgorodskiy@cbi.com; Santhosh.V.Kumar@mcdermott.com; Abhisek.Munshi@mcdermott.com; Keith.Rogerson@cbi.com</t>
  </si>
  <si>
    <t>bparkis: March2026 - zipped files for Cissy and she provided them to keith.rogerson@cbi.com.  31March2026: Renee approved not to migrate content via email.</t>
  </si>
  <si>
    <t>Steam Properties Excel Tools</t>
  </si>
  <si>
    <t>2019-09-26T08:03:07.34Z</t>
  </si>
  <si>
    <t>http://dalptfs01:8080/tfs/Lummus Technology  Group Project/_apis/projects/7f20af02-9d04-4207-aa0d-db27993c4238</t>
  </si>
  <si>
    <t>7f20af02-9d04-4207-aa0d-db27993c4238</t>
  </si>
  <si>
    <t>Lummus Utility Excel Add-in</t>
  </si>
  <si>
    <t>2019-11-04T18:19:12.083Z</t>
  </si>
  <si>
    <t>http://dalptfs01:8080/tfs/Lummus Technology  Group Project/_apis/projects/9a727e6e-03d0-44d3-bca5-c343b161c967</t>
  </si>
  <si>
    <t>9a727e6e-03d0-44d3-bca5-c343b161c967</t>
  </si>
  <si>
    <t>VssPlainfieldBld3</t>
  </si>
  <si>
    <t>VssRoot</t>
  </si>
  <si>
    <t>03/02/2022</t>
  </si>
  <si>
    <t>x.mike.koshel@mcdermott.com; VMishra@mcdermott.com; whitney.thomas@mcdermott.com; jeremy.wier@mcdermott.com</t>
  </si>
  <si>
    <t>2022-03-02T13:08:32.527Z</t>
  </si>
  <si>
    <t>http://dalptfs01:8080/tfs/VssPlainfieldBld3/_apis/projects/93b1bba9-6d42-4ca5-aa54-76698466faa2</t>
  </si>
  <si>
    <t>http://dalptfs01:8080/tfs/_apis/projectCollections/0b0da1e8-dcea-4f15-a7ea-864432cc0a38</t>
  </si>
  <si>
    <t>0b0da1e8-dcea-4f15-a7ea-864432cc0a38</t>
  </si>
  <si>
    <t>93b1bba9-6d42-4ca5-aa54-76698466faa2</t>
  </si>
  <si>
    <t>Mfit</t>
  </si>
  <si>
    <t>Alexandru.Gliga@mcdermott.com, Rahul.Janardhanan2@mcdermott.com</t>
  </si>
  <si>
    <t>Alexandru.Gliga@mcdermott.com, VKhairnar@mcdermott.com, Roberto.Sorrentino@mcdermott.com</t>
  </si>
  <si>
    <t>SEMS</t>
  </si>
  <si>
    <t>03/17/2025</t>
  </si>
  <si>
    <t>Manohar.Vare@mcdermott.com</t>
  </si>
  <si>
    <t>kranade@mcdermott.com; Varsha.Ghadge@mcdermott.com; Suraj.Jagtap@mcdermott.com; Pratik.Sawant@mcdermott.com; Manohar.Vare@mcdermott.com</t>
  </si>
  <si>
    <t>2025-03-17T10:04:48.36Z</t>
  </si>
  <si>
    <t>http://dalptfs01:8080/tfs/Digital Technology/_apis/projects/64c03cc8-9caa-4601-b93a-6f33a3aa237d</t>
  </si>
  <si>
    <t>64c03cc8-9caa-4601-b93a-6f33a3aa237d</t>
  </si>
  <si>
    <t>10/02/2023</t>
  </si>
  <si>
    <t>no</t>
  </si>
  <si>
    <t>Unique Email ID</t>
  </si>
  <si>
    <t>AKManunggal@mcdermott.com</t>
  </si>
  <si>
    <t>Christopher.Bahr@mcdermott.com</t>
  </si>
  <si>
    <t>Sharon.George@mcdermott.com</t>
  </si>
  <si>
    <t>rmanjares@mcdermott.com</t>
  </si>
  <si>
    <t>Smrutilipsa.Nayak@mcdermott.</t>
  </si>
  <si>
    <t>Chhavi.Dutt@mcdermott.com</t>
  </si>
  <si>
    <t>Aouthu.Sunanda2@mcdermott.com</t>
  </si>
  <si>
    <t>scott.harmon@cbi.com</t>
  </si>
  <si>
    <t>Mina.alimadad@mcdermott.com</t>
  </si>
  <si>
    <t>ProjectCollectionAdmin</t>
  </si>
  <si>
    <t>bradley.ingle@mcdermott.com</t>
  </si>
  <si>
    <t>ctoet@mcdermott.com</t>
  </si>
  <si>
    <t>Manisha.Rawat@mcdermott.com</t>
  </si>
  <si>
    <t>cgeorge@mcdermott.com</t>
  </si>
  <si>
    <t>Ajmal.Usman@mcdermott.com</t>
  </si>
  <si>
    <t>sa.sxb3@mcdermott.com</t>
  </si>
  <si>
    <t>AAmar@mcdermott.com</t>
  </si>
  <si>
    <t>Akshay.Singh@mcdermott.com</t>
  </si>
  <si>
    <t>Binod.Gupta@mcdermott.com</t>
  </si>
  <si>
    <t>VSPotkuchi@mcdermott.com</t>
  </si>
  <si>
    <t>Anu.Justin@mcdermott.com</t>
  </si>
  <si>
    <t>Samarpan.Banerjee@mcdermott.com</t>
  </si>
  <si>
    <t>MZiyad@mcdermott.com</t>
  </si>
  <si>
    <t>venkat.seshuk@mcdermott.com</t>
  </si>
  <si>
    <t>nkumar6@mcdermott.com</t>
  </si>
  <si>
    <t>Kyle.Versteeg@mcdermott.com</t>
  </si>
  <si>
    <t>richa.banotra@mcdermott.com</t>
  </si>
  <si>
    <t>Manohar.Kokare@mcdermott.com</t>
  </si>
  <si>
    <t>Sreejith.R@mcdermott.com</t>
  </si>
  <si>
    <t>Aulia.Molanda@mcdermott.com</t>
  </si>
  <si>
    <t>x.mike.koshel@mcdermott.com</t>
  </si>
  <si>
    <t>Atul.Singhai@mcdermott.com</t>
  </si>
  <si>
    <t>DocumentumAdmins@mcdermott.com</t>
  </si>
  <si>
    <t>paul.catanzaro@cbi.com</t>
  </si>
  <si>
    <t>Varsha.Ghadge@mcdermott.com</t>
  </si>
  <si>
    <t>vbhatia@cbi.com</t>
  </si>
  <si>
    <t>Rathi.T@mcdermott.com</t>
  </si>
  <si>
    <t>sranganathan@mcdermott.com</t>
  </si>
  <si>
    <t>Suraj.Jagtap@mcdermott.com</t>
  </si>
  <si>
    <t>Mansi.Kulkarni@mcdermott.com</t>
  </si>
  <si>
    <t>Douglas.Leidgen@mcdermott.com</t>
  </si>
  <si>
    <t>Pratik.Sawant@mcdermott.com</t>
  </si>
  <si>
    <t>Manish.Kumawat@mcdermott.com</t>
  </si>
  <si>
    <t>Nasir.Majeed@mcdermott.com</t>
  </si>
  <si>
    <t>Vishal.Kudale@mcdermott.com</t>
  </si>
  <si>
    <t>Sachin.Todkar@mcdermott.com</t>
  </si>
  <si>
    <t>Rohit.Soni@mcdermott.com</t>
  </si>
  <si>
    <t>Pankaj.Jadhav2@mcdermott.com</t>
  </si>
  <si>
    <t>JMustafa@mcdermott.com</t>
  </si>
  <si>
    <t>Nitin.Pawar@mcdermott.com</t>
  </si>
  <si>
    <t>Sanket.Jambhulkar@mcdermott.com</t>
  </si>
  <si>
    <t>jkobs@mcdermott.com</t>
  </si>
  <si>
    <t>Nagnath.Mungade@mcdermott.com</t>
  </si>
  <si>
    <t>Deepak.Dange@mcdermott.com</t>
  </si>
  <si>
    <t>RDzhusupova@mcdermott.com</t>
  </si>
  <si>
    <t>Narahari.Bangaru@mcdermott.com</t>
  </si>
  <si>
    <t>jsangram@mcdermott.com</t>
  </si>
  <si>
    <t>varun.varun@mcdermott.com</t>
  </si>
  <si>
    <t>nbalaji2@mcdermott.com</t>
  </si>
  <si>
    <t>hgaba@mcdermott.com</t>
  </si>
  <si>
    <t>1025/2019</t>
  </si>
  <si>
    <t>Column2</t>
  </si>
  <si>
    <t>LastUpdate</t>
  </si>
  <si>
    <t>projects.description</t>
  </si>
  <si>
    <t>Column1</t>
  </si>
  <si>
    <t>0311/2020</t>
  </si>
  <si>
    <t>0312/2020</t>
  </si>
  <si>
    <t>0715/2022</t>
  </si>
  <si>
    <t>0217/2025</t>
  </si>
  <si>
    <t>0819/2020</t>
  </si>
  <si>
    <t>0926/2019</t>
  </si>
  <si>
    <t>0202/2021</t>
  </si>
  <si>
    <t>0427/2022</t>
  </si>
  <si>
    <t>0302/2022</t>
  </si>
  <si>
    <t>1020/2020</t>
  </si>
  <si>
    <t>0521/2021</t>
  </si>
  <si>
    <t>0720/2021</t>
  </si>
  <si>
    <t>0520/2020</t>
  </si>
  <si>
    <t>1003/2019</t>
  </si>
  <si>
    <t>0126/2021</t>
  </si>
  <si>
    <t>1205/2022</t>
  </si>
  <si>
    <t>0305/2020</t>
  </si>
  <si>
    <t>0111/2023</t>
  </si>
  <si>
    <t>0720/2020</t>
  </si>
  <si>
    <t>1006/2021</t>
  </si>
  <si>
    <t>0605/2024</t>
  </si>
  <si>
    <t>0913/2024</t>
  </si>
  <si>
    <t>0726/2021</t>
  </si>
  <si>
    <t>0522/2024</t>
  </si>
  <si>
    <t>0306/2025</t>
  </si>
  <si>
    <t>1028/2024</t>
  </si>
  <si>
    <t>0317/2025</t>
  </si>
  <si>
    <t>0828/2024</t>
  </si>
  <si>
    <t>0826/2024</t>
  </si>
  <si>
    <t>1104/2024</t>
  </si>
  <si>
    <t>0710/2024</t>
  </si>
  <si>
    <t>1009/2024</t>
  </si>
  <si>
    <t>0614/2023</t>
  </si>
  <si>
    <t>1004/2024</t>
  </si>
  <si>
    <t>0213/2025</t>
  </si>
  <si>
    <t>0527/2024</t>
  </si>
  <si>
    <t>0829/2023</t>
  </si>
  <si>
    <t>0109/2025</t>
  </si>
  <si>
    <t>0206/2024</t>
  </si>
  <si>
    <t>0116/2025</t>
  </si>
  <si>
    <t>0222/2024</t>
  </si>
  <si>
    <t>0919/2024</t>
  </si>
  <si>
    <t>0311/2025</t>
  </si>
  <si>
    <t>0806/2024</t>
  </si>
  <si>
    <t>1211/2024</t>
  </si>
  <si>
    <t>1016/2024</t>
  </si>
  <si>
    <t>0227/2024</t>
  </si>
  <si>
    <t>0925/2024</t>
  </si>
  <si>
    <t>0121/2025</t>
  </si>
  <si>
    <t>0402/2024</t>
  </si>
  <si>
    <t>1029/2024</t>
  </si>
  <si>
    <t>1010/2024</t>
  </si>
  <si>
    <t>0923/2024</t>
  </si>
  <si>
    <t>1111/2024</t>
  </si>
  <si>
    <t>0321/2024</t>
  </si>
  <si>
    <t>0719/2023</t>
  </si>
  <si>
    <t>1001/2024</t>
  </si>
  <si>
    <t>0127/2021</t>
  </si>
  <si>
    <t>0922/2023</t>
  </si>
  <si>
    <t>1112/2019</t>
  </si>
  <si>
    <t>1015/2019</t>
  </si>
  <si>
    <t>0330/2020</t>
  </si>
  <si>
    <t>1105/2019</t>
  </si>
  <si>
    <t>0518/2021</t>
  </si>
  <si>
    <t>0625/2020</t>
  </si>
  <si>
    <t>1023/2019</t>
  </si>
  <si>
    <t>0619/2023</t>
  </si>
  <si>
    <t>1118/2021</t>
  </si>
  <si>
    <t>1002/2023</t>
  </si>
  <si>
    <t>0617/2021</t>
  </si>
  <si>
    <t>1022/2020</t>
  </si>
  <si>
    <t>1115/2023</t>
  </si>
  <si>
    <t>0416/2024</t>
  </si>
  <si>
    <t>0316/2023</t>
  </si>
  <si>
    <t>0212/2025</t>
  </si>
  <si>
    <t>0410/2025</t>
  </si>
  <si>
    <t>0217/2021</t>
  </si>
  <si>
    <t>0220/2025</t>
  </si>
  <si>
    <t>0214/2023</t>
  </si>
  <si>
    <t>1022/2024</t>
  </si>
  <si>
    <t>1113/2024</t>
  </si>
  <si>
    <t>0730/2024</t>
  </si>
  <si>
    <t>1112/2024</t>
  </si>
  <si>
    <t>1114/2022</t>
  </si>
  <si>
    <t>1220/2022</t>
  </si>
  <si>
    <t>1108/2021</t>
  </si>
  <si>
    <t>0122/2020</t>
  </si>
  <si>
    <t>0129/2020</t>
  </si>
  <si>
    <t>0127/2020</t>
  </si>
  <si>
    <t>1017/2019</t>
  </si>
  <si>
    <t>0124/2020</t>
  </si>
  <si>
    <t>0425/2020</t>
  </si>
  <si>
    <t>0902/2020</t>
  </si>
  <si>
    <t>1004/2019</t>
  </si>
  <si>
    <t>1104/2019</t>
  </si>
  <si>
    <t>0518/2020</t>
  </si>
  <si>
    <t>0211/2020</t>
  </si>
  <si>
    <t>1010/2019</t>
  </si>
  <si>
    <t>0830/2023</t>
  </si>
  <si>
    <t>0427/2020</t>
  </si>
  <si>
    <t>1107/2019</t>
  </si>
  <si>
    <t>0908/2023</t>
  </si>
  <si>
    <t>0730/2020</t>
  </si>
  <si>
    <t>0809/2023</t>
  </si>
  <si>
    <t>1028/2019</t>
  </si>
  <si>
    <t>0223/2023</t>
  </si>
  <si>
    <t>0205/2021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</si>
</sst>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409]d\-mmm\-yyyy;@"/>
    <numFmt numFmtId="166" formatCode="[$-409]mmmm\ d\,\ yyyy;@"/>
  </numFmts>
  <fonts count="11" x14ac:knownFonts="1">
    <font>
      <sz val="11"/>
      <color theme="1"/>
      <name val="Aptos Narrow"/>
      <family val="2"/>
      <scheme val="minor"/>
    </font>
    <font>
      <u/>
      <sz val="11"/>
      <color theme="10"/>
      <name val="Aptos Narrow"/>
      <family val="2"/>
      <scheme val="minor"/>
    </font>
    <font>
      <sz val="8"/>
      <name val="Aptos Narrow"/>
      <family val="2"/>
      <scheme val="minor"/>
    </font>
    <font>
      <sz val="11"/>
      <color rgb="FF242424"/>
      <name val="Aptos Narrow"/>
      <family val="2"/>
    </font>
    <font>
      <b/>
      <sz val="11"/>
      <color theme="1"/>
      <name val="Aptos Narrow"/>
      <family val="2"/>
      <scheme val="minor"/>
    </font>
    <font>
      <strike/>
      <sz val="11"/>
      <color theme="1"/>
      <name val="Aptos Narrow"/>
      <family val="2"/>
      <scheme val="minor"/>
    </font>
    <font>
      <sz val="11"/>
      <color rgb="FF000000"/>
      <name val="Aptos Narrow"/>
      <family val="2"/>
    </font>
    <font>
      <b/>
      <sz val="11"/>
      <color theme="0"/>
      <name val="Aptos Narrow"/>
      <family val="2"/>
      <scheme val="minor"/>
    </font>
    <font>
      <sz val="11"/>
      <color rgb="FF000000"/>
      <name val="Tahoma"/>
      <family val="2"/>
    </font>
    <font>
      <sz val="11"/>
      <color rgb="FF242424"/>
      <name val="Aptos Narrow"/>
      <charset val="1"/>
    </font>
    <font>
      <sz val="11"/>
      <color rgb="FFFF0000"/>
      <name val="Aptos Narrow"/>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FFFFFF"/>
        <bgColor rgb="FF000000"/>
      </patternFill>
    </fill>
    <fill>
      <patternFill patternType="solid">
        <fgColor rgb="FFFFFFFF"/>
        <bgColor rgb="FFC0E6F5"/>
      </patternFill>
    </fill>
    <fill>
      <patternFill patternType="solid">
        <fgColor theme="4"/>
        <bgColor theme="4"/>
      </patternFill>
    </fill>
  </fills>
  <borders count="3">
    <border>
      <left/>
      <right/>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1" fillId="0" borderId="0" xfId="1"/>
    <xf numFmtId="164" fontId="0" fillId="0" borderId="0" xfId="0" applyNumberFormat="1"/>
    <xf numFmtId="165" fontId="0" fillId="0" borderId="0" xfId="0" applyNumberFormat="1"/>
    <xf numFmtId="164" fontId="0" fillId="2" borderId="1" xfId="0" applyNumberFormat="1" applyFill="1" applyBorder="1"/>
    <xf numFmtId="164" fontId="0" fillId="0" borderId="1" xfId="0" applyNumberFormat="1" applyBorder="1"/>
    <xf numFmtId="0" fontId="0" fillId="3" borderId="0" xfId="0" applyFill="1"/>
    <xf numFmtId="0" fontId="0" fillId="4" borderId="0" xfId="0" applyFill="1"/>
    <xf numFmtId="165" fontId="1" fillId="0" borderId="0" xfId="1" applyNumberFormat="1"/>
    <xf numFmtId="0" fontId="0" fillId="5" borderId="0" xfId="0" applyFill="1"/>
    <xf numFmtId="165" fontId="0" fillId="3" borderId="0" xfId="0" applyNumberFormat="1" applyFill="1"/>
    <xf numFmtId="164" fontId="0" fillId="3" borderId="0" xfId="0" applyNumberFormat="1" applyFill="1"/>
    <xf numFmtId="0" fontId="3" fillId="0" borderId="0" xfId="0" applyFont="1"/>
    <xf numFmtId="165" fontId="0" fillId="4" borderId="0" xfId="0" applyNumberFormat="1" applyFill="1"/>
    <xf numFmtId="164" fontId="0" fillId="4" borderId="0" xfId="0" applyNumberFormat="1" applyFill="1"/>
    <xf numFmtId="165" fontId="1" fillId="0" borderId="0" xfId="1" applyNumberFormat="1" applyAlignment="1"/>
    <xf numFmtId="0" fontId="1" fillId="0" borderId="0" xfId="1" applyAlignment="1"/>
    <xf numFmtId="0" fontId="5" fillId="0" borderId="0" xfId="0" applyFont="1"/>
    <xf numFmtId="165" fontId="5" fillId="0" borderId="0" xfId="0" applyNumberFormat="1" applyFont="1"/>
    <xf numFmtId="164" fontId="5" fillId="0" borderId="0" xfId="0" applyNumberFormat="1" applyFont="1"/>
    <xf numFmtId="0" fontId="4" fillId="0" borderId="2" xfId="0" applyFont="1" applyBorder="1"/>
    <xf numFmtId="0" fontId="1" fillId="6" borderId="2" xfId="1" applyFill="1" applyBorder="1"/>
    <xf numFmtId="0" fontId="1" fillId="7" borderId="2" xfId="1" applyFill="1" applyBorder="1"/>
    <xf numFmtId="0" fontId="6" fillId="6" borderId="2" xfId="0" applyFont="1" applyFill="1" applyBorder="1"/>
    <xf numFmtId="0" fontId="7" fillId="8" borderId="0" xfId="0" applyFont="1" applyFill="1"/>
    <xf numFmtId="166" fontId="0" fillId="0" borderId="0" xfId="0" applyNumberFormat="1"/>
    <xf numFmtId="0" fontId="0" fillId="0" borderId="0" xfId="0" applyAlignment="1">
      <alignment wrapText="1"/>
    </xf>
    <xf numFmtId="165" fontId="0" fillId="0" borderId="0" xfId="0" applyNumberFormat="1" applyAlignment="1">
      <alignment wrapText="1"/>
    </xf>
    <xf numFmtId="165" fontId="1" fillId="0" borderId="0" xfId="1" applyNumberFormat="1" applyAlignment="1">
      <alignment wrapText="1"/>
    </xf>
    <xf numFmtId="165" fontId="0" fillId="4" borderId="0" xfId="0" applyNumberFormat="1" applyFill="1" applyAlignment="1">
      <alignment wrapText="1"/>
    </xf>
    <xf numFmtId="165" fontId="1" fillId="4" borderId="0" xfId="1" applyNumberFormat="1" applyFill="1"/>
    <xf numFmtId="165" fontId="1" fillId="4" borderId="0" xfId="1" applyNumberFormat="1" applyFill="1" applyAlignment="1"/>
    <xf numFmtId="0" fontId="9" fillId="0" borderId="0" xfId="0" applyFont="1"/>
    <xf numFmtId="0" fontId="8" fillId="0" borderId="0" xfId="0" applyFont="1"/>
    <xf numFmtId="0" fontId="1" fillId="3" borderId="0" xfId="1" applyFill="1"/>
    <xf numFmtId="0" fontId="10" fillId="0" borderId="0" xfId="0" applyFont="1"/>
  </cellXfs>
  <cellStyles count="2">
    <cellStyle name="Hyperlink" xfId="1" builtinId="8"/>
    <cellStyle name="Normal" xfId="0" builtinId="0"/>
  </cellStyles>
  <dxfs count="36">
    <dxf>
      <numFmt numFmtId="0" formatCode="General"/>
    </dxf>
    <dxf>
      <numFmt numFmtId="0" formatCode="General"/>
    </dxf>
    <dxf>
      <numFmt numFmtId="0" formatCode="General"/>
    </dxf>
    <dxf>
      <numFmt numFmtId="164" formatCode="yyyy\-mm\-dd;@"/>
    </dxf>
    <dxf>
      <numFmt numFmtId="165" formatCode="[$-409]d\-mmm\-yyyy;@"/>
    </dxf>
    <dxf>
      <numFmt numFmtId="165" formatCode="[$-409]d\-mmm\-yyyy;@"/>
    </dxf>
    <dxf>
      <numFmt numFmtId="165" formatCode="[$-409]d\-mmm\-yyyy;@"/>
    </dxf>
    <dxf>
      <font>
        <b val="0"/>
        <i val="0"/>
        <strike/>
        <condense val="0"/>
        <extend val="0"/>
        <outline val="0"/>
        <shadow val="0"/>
        <u val="none"/>
        <vertAlign val="baseline"/>
        <sz val="11"/>
        <color theme="1"/>
        <name val="Aptos Narrow"/>
        <family val="2"/>
        <scheme val="minor"/>
      </font>
      <numFmt numFmtId="165" formatCode="[$-409]d\-mmm\-yyyy;@"/>
    </dxf>
    <dxf>
      <numFmt numFmtId="166" formatCode="[$-409]mmmm\ d\,\ yyyy;@"/>
    </dxf>
    <dxf>
      <numFmt numFmtId="165" formatCode="[$-409]d\-mmm\-yyyy;@"/>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alignment wrapText="0"/>
    </dxf>
    <dxf>
      <alignment wrapText="0"/>
    </dxf>
    <dxf>
      <numFmt numFmtId="0" formatCode="General"/>
      <alignment wrapText="0"/>
    </dxf>
    <dxf>
      <alignment wrapText="0"/>
    </dxf>
    <dxf>
      <alignment wrapText="0"/>
    </dxf>
    <dxf>
      <alignment wrapText="0"/>
    </dxf>
    <dxf>
      <alignment wrapText="0"/>
    </dxf>
    <dxf>
      <alignment wrapText="0"/>
    </dxf>
    <dxf>
      <alignment wrapText="0"/>
    </dxf>
    <dxf>
      <numFmt numFmtId="164" formatCode="yyyy\-mm\-dd;@"/>
      <alignment wrapText="0"/>
    </dxf>
    <dxf>
      <numFmt numFmtId="165" formatCode="[$-409]d\-mmm\-yyyy;@"/>
      <alignment wrapText="0"/>
    </dxf>
    <dxf>
      <numFmt numFmtId="165" formatCode="[$-409]d\-mmm\-yyyy;@"/>
      <alignment wrapText="0"/>
    </dxf>
    <dxf>
      <numFmt numFmtId="165" formatCode="[$-409]d\-mmm\-yyyy;@"/>
      <alignment wrapText="0"/>
    </dxf>
    <dxf>
      <font>
        <b val="0"/>
        <i val="0"/>
        <strike/>
        <condense val="0"/>
        <extend val="0"/>
        <outline val="0"/>
        <shadow val="0"/>
        <u val="none"/>
        <vertAlign val="baseline"/>
        <sz val="11"/>
        <color theme="1"/>
        <name val="Aptos Narrow"/>
        <family val="2"/>
        <scheme val="minor"/>
      </font>
      <numFmt numFmtId="165" formatCode="[$-409]d\-mmm\-yyyy;@"/>
      <alignment wrapText="0"/>
    </dxf>
    <dxf>
      <numFmt numFmtId="166" formatCode="[$-409]mmmm\ d\,\ yyyy;@"/>
      <alignment wrapText="0"/>
    </dxf>
    <dxf>
      <numFmt numFmtId="165" formatCode="[$-409]d\-mmm\-yyyy;@"/>
      <alignment wrapText="0"/>
    </dxf>
    <dxf>
      <alignment wrapText="0"/>
    </dxf>
    <dxf>
      <alignment wrapText="0"/>
    </dxf>
    <dxf>
      <alignment wrapText="0"/>
    </dxf>
    <dxf>
      <alignment wrapText="0"/>
    </dxf>
    <dxf>
      <alignment wrapText="0"/>
    </dxf>
    <dxf>
      <alignment wrapText="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wrapText="0"/>
    </dxf>
    <dxf>
      <alignment wrapText="0"/>
    </dxf>
    <dxf>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55FB16D-1E5A-4C38-A7FB-FEEC1A4854CA}" autoFormatId="16" applyNumberFormats="0" applyBorderFormats="0" applyFontFormats="0" applyPatternFormats="0" applyAlignmentFormats="0" applyWidthHeightFormats="0">
  <queryTableRefresh nextId="44" unboundColumnsRight="1">
    <queryTableFields count="23">
      <queryTableField id="18" name="Column1.name" tableColumnId="18"/>
      <queryTableField id="10" name="Column1.projects.name" tableColumnId="10"/>
      <queryTableField id="35" dataBound="0" tableColumnId="8"/>
      <queryTableField id="37" dataBound="0" tableColumnId="20"/>
      <queryTableField id="33" dataBound="0" tableColumnId="6"/>
      <queryTableField id="40" dataBound="0" tableColumnId="7"/>
      <queryTableField id="39" dataBound="0" tableColumnId="1"/>
      <queryTableField id="29" dataBound="0" tableColumnId="4"/>
      <queryTableField id="31" dataBound="0" tableColumnId="5"/>
      <queryTableField id="43" dataBound="0" tableColumnId="23"/>
      <queryTableField id="42" dataBound="0" tableColumnId="22"/>
      <queryTableField id="41" dataBound="0" tableColumnId="21"/>
      <queryTableField id="36" dataBound="0" tableColumnId="16"/>
      <queryTableField id="15" name="Column1.projects.lastUpdateTime" tableColumnId="15"/>
      <queryTableField id="11" name="Column1.projects.url" tableColumnId="11"/>
      <queryTableField id="17" name="Column1.url" tableColumnId="17"/>
      <queryTableField id="19" name="Column1.id" tableColumnId="19"/>
      <queryTableField id="9" name="Column1.projects.id" tableColumnId="9"/>
      <queryTableField id="12" name="Column1.projects.state" tableColumnId="12"/>
      <queryTableField id="13" name="Column1.projects.revision" tableColumnId="13"/>
      <queryTableField id="25" dataBound="0" tableColumnId="3"/>
      <queryTableField id="14" name="Column1.projects.visibility" tableColumnId="14"/>
      <queryTableField id="24" dataBound="0" tableColumnId="2"/>
    </queryTableFields>
    <queryTableDeletedFields count="1">
      <deletedField name="Column1.projects.description"/>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5371A9A-B01C-40A3-822D-54F370643E0A}" autoFormatId="16" applyNumberFormats="0" applyBorderFormats="0" applyFontFormats="0" applyPatternFormats="0" applyAlignmentFormats="0" applyWidthHeightFormats="0">
  <queryTableRefresh nextId="44" unboundColumnsRight="1">
    <queryTableFields count="23">
      <queryTableField id="18" name="Column1.name" tableColumnId="18"/>
      <queryTableField id="10" name="Column1.projects.name" tableColumnId="10"/>
      <queryTableField id="35" dataBound="0" tableColumnId="8"/>
      <queryTableField id="37" dataBound="0" tableColumnId="20"/>
      <queryTableField id="33" dataBound="0" tableColumnId="6"/>
      <queryTableField id="40" dataBound="0" tableColumnId="7"/>
      <queryTableField id="39" dataBound="0" tableColumnId="1"/>
      <queryTableField id="29" dataBound="0" tableColumnId="4"/>
      <queryTableField id="31" dataBound="0" tableColumnId="5"/>
      <queryTableField id="43" dataBound="0" tableColumnId="23"/>
      <queryTableField id="42" dataBound="0" tableColumnId="22"/>
      <queryTableField id="41" dataBound="0" tableColumnId="21"/>
      <queryTableField id="36" dataBound="0" tableColumnId="16"/>
      <queryTableField id="15" name="Column1.projects.lastUpdateTime" tableColumnId="15"/>
      <queryTableField id="11" name="Column1.projects.url" tableColumnId="11"/>
      <queryTableField id="17" name="Column1.url" tableColumnId="17"/>
      <queryTableField id="19" name="Column1.id" tableColumnId="19"/>
      <queryTableField id="9" name="Column1.projects.id" tableColumnId="9"/>
      <queryTableField id="12" name="Column1.projects.state" tableColumnId="12"/>
      <queryTableField id="13" name="Column1.projects.revision" tableColumnId="13"/>
      <queryTableField id="25" dataBound="0" tableColumnId="3"/>
      <queryTableField id="14" name="Column1.projects.visibility" tableColumnId="14"/>
      <queryTableField id="24" dataBound="0" tableColumnId="2"/>
    </queryTableFields>
    <queryTableDeletedFields count="1">
      <deletedField name="Column1.projects.description"/>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E92397A6-F5AE-4828-BAA0-9B9CD9C3E740}" autoFormatId="16" applyNumberFormats="0" applyBorderFormats="0" applyFontFormats="0" applyPatternFormats="0" applyAlignmentFormats="0" applyWidthHeightFormats="0">
  <queryTableRefresh nextId="24">
    <queryTableFields count="15">
      <queryTableField id="9" name="Column1.projects.id" tableColumnId="9"/>
      <queryTableField id="10" name="Column1.projects.name" tableColumnId="10"/>
      <queryTableField id="11" name="Column1.projects.url" tableColumnId="11"/>
      <queryTableField id="12" name="Column1.projects.state" tableColumnId="12"/>
      <queryTableField id="13" name="Column1.projects.revision" tableColumnId="13"/>
      <queryTableField id="14" name="Column1.projects.visibility" tableColumnId="14"/>
      <queryTableField id="15" name="Column1.projects.lastUpdateTime" tableColumnId="15"/>
      <queryTableField id="21" dataBound="0" tableColumnId="2"/>
      <queryTableField id="22" dataBound="0" tableColumnId="3"/>
      <queryTableField id="23" dataBound="0" tableColumnId="4"/>
      <queryTableField id="16" name="Column1.projects.description" tableColumnId="16"/>
      <queryTableField id="17" name="Column1.url" tableColumnId="17"/>
      <queryTableField id="20" dataBound="0" tableColumnId="1"/>
      <queryTableField id="18" name="Column1.name" tableColumnId="18"/>
      <queryTableField id="19" name="Column1.id"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57781C-B440-47E2-9352-03D5DB120DA7}" name="dalptfs01_report34" displayName="dalptfs01_report34" ref="B1:X447" tableType="queryTable" totalsRowShown="0" headerRowDxfId="35" dataDxfId="34">
  <autoFilter ref="B1:X447" xr:uid="{8096BE19-E1DC-45CD-BB6B-0ED96B5BBA83}">
    <filterColumn colId="4">
      <filters>
        <filter val="No"/>
      </filters>
    </filterColumn>
  </autoFilter>
  <sortState xmlns:xlrd2="http://schemas.microsoft.com/office/spreadsheetml/2017/richdata2" ref="B2:X446">
    <sortCondition ref="B1:B446"/>
  </sortState>
  <tableColumns count="23">
    <tableColumn id="18" xr3:uid="{B32910ED-A419-4F15-B712-28F25E0E1E4F}" uniqueName="18" name="Collection" queryTableFieldId="18" dataDxfId="33"/>
    <tableColumn id="10" xr3:uid="{090A357D-EA83-4CCF-A713-42224445E76B}" uniqueName="10" name="projects.name" queryTableFieldId="10" dataDxfId="32"/>
    <tableColumn id="8" xr3:uid="{E3FC25B8-6F48-4DF7-8086-3304D22D76A5}" uniqueName="8" name="TFVC/Git" queryTableFieldId="35" dataDxfId="31"/>
    <tableColumn id="20" xr3:uid="{EA718079-7F5A-4E45-8087-69D7B5DB5B42}" uniqueName="20" name="Archive" queryTableFieldId="37" dataDxfId="30"/>
    <tableColumn id="6" xr3:uid="{61C9EEB5-D07B-4DDF-ACE0-527CABFEAA79}" uniqueName="6" name="Empty" queryTableFieldId="33" dataDxfId="29"/>
    <tableColumn id="7" xr3:uid="{014E6428-F4A3-4642-9EB0-DB23E3C7D9C6}" uniqueName="7" name="Company" queryTableFieldId="40" dataDxfId="28"/>
    <tableColumn id="1" xr3:uid="{1D953649-B9B1-49CC-8ED2-3EFCD819107A}" uniqueName="1" name="Active" queryTableFieldId="39" dataDxfId="27"/>
    <tableColumn id="4" xr3:uid="{A6214933-B889-442A-A728-903B5BE582BC}" uniqueName="4" name="Project-LastUpdate" queryTableFieldId="29" dataDxfId="26"/>
    <tableColumn id="5" xr3:uid="{2B0E79C7-52AF-4F99-A382-FB19434027F2}" uniqueName="5" name="Year" queryTableFieldId="31" dataDxfId="25">
      <calculatedColumnFormula>RIGHT(I2,4)</calculatedColumnFormula>
    </tableColumn>
    <tableColumn id="23" xr3:uid="{9741E77F-04D8-49B0-B0B1-85B30F1BF212}" uniqueName="23" name="Reviewer" queryTableFieldId="43" dataDxfId="24"/>
    <tableColumn id="22" xr3:uid="{2C7A30F6-D997-4399-A405-0F58D7662DED}" uniqueName="22" name="Project Admins" queryTableFieldId="42" dataDxfId="23"/>
    <tableColumn id="21" xr3:uid="{925E79A6-04CE-435E-8733-0F838FA64156}" uniqueName="21" name="App Developers" queryTableFieldId="41" dataDxfId="22"/>
    <tableColumn id="16" xr3:uid="{0F379CDC-5789-40F8-BFC0-79645CEB51C5}" uniqueName="16" name="Comments" queryTableFieldId="36" dataDxfId="21"/>
    <tableColumn id="15" xr3:uid="{F3CCD1D2-337F-44A0-A848-C163D70C6BE4}" uniqueName="15" name="projects.lastUpdateTime" queryTableFieldId="15" dataDxfId="20"/>
    <tableColumn id="11" xr3:uid="{152F3A23-A90F-4815-B8DA-BF4337A71FC0}" uniqueName="11" name="projects.url" queryTableFieldId="11" dataDxfId="19"/>
    <tableColumn id="17" xr3:uid="{7538C20D-9FAD-4725-9079-CCEEB7D98008}" uniqueName="17" name="url" queryTableFieldId="17" dataDxfId="18"/>
    <tableColumn id="19" xr3:uid="{57F6B2A5-A007-4C98-8490-9CFA1659E099}" uniqueName="19" name="Collection.id" queryTableFieldId="19" dataDxfId="17"/>
    <tableColumn id="9" xr3:uid="{83429735-CE58-4C54-973D-84751566B3FD}" uniqueName="9" name="projects.id" queryTableFieldId="9" dataDxfId="16"/>
    <tableColumn id="12" xr3:uid="{4817C6F5-960E-4AF2-BA6E-BDB9874F4206}" uniqueName="12" name="projects.state" queryTableFieldId="12" dataDxfId="15"/>
    <tableColumn id="13" xr3:uid="{68DC5D61-8DC6-454D-910C-B22E0B0677E9}" uniqueName="13" name="projects.revision" queryTableFieldId="13" dataDxfId="14"/>
    <tableColumn id="3" xr3:uid="{4E2561C3-D030-4779-9CBD-1DA4E36CF36F}" uniqueName="3" name="Project-LastUpdate2" queryTableFieldId="25" dataDxfId="13">
      <calculatedColumnFormula>TEXT(DATEVALUE(LEFT(O2,10)), "mm/dd/yyyy")</calculatedColumnFormula>
    </tableColumn>
    <tableColumn id="14" xr3:uid="{28F11B6D-0C73-4A85-8FD4-17FFA6C261F1}" uniqueName="14" name="projects.visibility" queryTableFieldId="14" dataDxfId="12"/>
    <tableColumn id="2" xr3:uid="{6A79732A-70CE-4FE9-8310-019183C00B19}" uniqueName="2" name="projects.description2" queryTableFieldId="24"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96BE19-E1DC-45CD-BB6B-0ED96B5BBA83}" name="dalptfs01_report3" displayName="dalptfs01_report3" ref="B1:X448" tableType="queryTable" totalsRowShown="0">
  <autoFilter ref="B1:X448" xr:uid="{8096BE19-E1DC-45CD-BB6B-0ED96B5BBA83}">
    <filterColumn colId="3">
      <filters>
        <filter val="Yes"/>
      </filters>
    </filterColumn>
  </autoFilter>
  <sortState xmlns:xlrd2="http://schemas.microsoft.com/office/spreadsheetml/2017/richdata2" ref="B2:X447">
    <sortCondition ref="B1:B447"/>
  </sortState>
  <tableColumns count="23">
    <tableColumn id="18" xr3:uid="{D4465D06-AD3D-4BC3-9807-C81E066B9F05}" uniqueName="18" name="Collection" queryTableFieldId="18" dataDxfId="10"/>
    <tableColumn id="10" xr3:uid="{FF94E881-647D-4C69-99C9-1ACEC39B52EC}" uniqueName="10" name="projects.name" queryTableFieldId="10"/>
    <tableColumn id="8" xr3:uid="{1B316DEE-8528-42D1-A2F2-0561E1FA8109}" uniqueName="8" name="TFVC/Git" queryTableFieldId="35"/>
    <tableColumn id="20" xr3:uid="{5A8A79E9-6F62-4ED6-9754-C056CC4760AA}" uniqueName="20" name="Archive" queryTableFieldId="37"/>
    <tableColumn id="6" xr3:uid="{C0C3AE10-9538-41A3-8FE5-996E3FC3493A}" uniqueName="6" name="Empty" queryTableFieldId="33"/>
    <tableColumn id="7" xr3:uid="{DA10C446-749E-48E9-A0FC-3B40F2A6D3C7}" uniqueName="7" name="Company" queryTableFieldId="40"/>
    <tableColumn id="1" xr3:uid="{4AC37AC6-319D-4680-BBBA-A74B09134F0D}" uniqueName="1" name="Active" queryTableFieldId="39"/>
    <tableColumn id="4" xr3:uid="{F2E539BB-8CDF-4410-B9B9-10B67B9892F9}" uniqueName="4" name="Project-LastUpdate" queryTableFieldId="29" dataDxfId="9"/>
    <tableColumn id="5" xr3:uid="{0D1B8268-C55D-4A98-BEFF-D810806A1253}" uniqueName="5" name="Year" queryTableFieldId="31" dataDxfId="8">
      <calculatedColumnFormula>RIGHT(I2,4)</calculatedColumnFormula>
    </tableColumn>
    <tableColumn id="23" xr3:uid="{DAC33FBE-2D36-484C-A8C1-92DED90CC03F}" uniqueName="23" name="Reviewer" queryTableFieldId="43" dataDxfId="7"/>
    <tableColumn id="22" xr3:uid="{2E18721D-781C-40FC-9115-15BF548783EB}" uniqueName="22" name="Project Admins" queryTableFieldId="42" dataDxfId="6"/>
    <tableColumn id="21" xr3:uid="{6C476C4F-8711-4BB4-B189-47E089E0EC34}" uniqueName="21" name="App Developers" queryTableFieldId="41" dataDxfId="5"/>
    <tableColumn id="16" xr3:uid="{3CF8F48E-CA8F-47C5-A057-683A1BCAB6F8}" uniqueName="16" name="Comments" queryTableFieldId="36" dataDxfId="4"/>
    <tableColumn id="15" xr3:uid="{80D15CEC-3681-40AC-9EF0-C7F0F5F8C500}" uniqueName="15" name="projects.lastUpdateTime" queryTableFieldId="15" dataDxfId="3"/>
    <tableColumn id="11" xr3:uid="{A696AE26-E401-43E1-B939-B478E44FD1E2}" uniqueName="11" name="projects.url" queryTableFieldId="11"/>
    <tableColumn id="17" xr3:uid="{081A46B1-AEB5-4DD2-834B-3C1B2342BA98}" uniqueName="17" name="url" queryTableFieldId="17"/>
    <tableColumn id="19" xr3:uid="{56BC9F43-9CB0-43CA-8B34-2BA05636E0B3}" uniqueName="19" name="Collection.id" queryTableFieldId="19"/>
    <tableColumn id="9" xr3:uid="{0A51A675-617E-431F-A7F5-5508C3AC0144}" uniqueName="9" name="projects.id" queryTableFieldId="9"/>
    <tableColumn id="12" xr3:uid="{BCF2D43B-AD05-4048-B26B-8C5F8A471EC5}" uniqueName="12" name="projects.state" queryTableFieldId="12"/>
    <tableColumn id="13" xr3:uid="{93E1FAFA-7C72-4A23-9510-B2EFDD89D0E8}" uniqueName="13" name="projects.revision" queryTableFieldId="13"/>
    <tableColumn id="3" xr3:uid="{0CA43E32-3A9C-42EC-AB28-33B8E21E3DBB}" uniqueName="3" name="Project-LastUpdate2" queryTableFieldId="25" dataDxfId="2">
      <calculatedColumnFormula>TEXT(DATEVALUE(LEFT(O2,10)), "mm/dd/yyyy")</calculatedColumnFormula>
    </tableColumn>
    <tableColumn id="14" xr3:uid="{F410EE42-015F-44CD-8EC7-C208FBAF6FAA}" uniqueName="14" name="projects.visibility" queryTableFieldId="14"/>
    <tableColumn id="2" xr3:uid="{86EADF59-7962-42BB-9C45-E288D78A3704}" uniqueName="2" name="projects.description2" queryTableField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767C6F-F5F7-4F15-8566-310FEDA75EBF}" name="dalptfs01_report" displayName="dalptfs01_report" ref="A1:O446" tableType="queryTable" totalsRowShown="0">
  <autoFilter ref="A1:O446" xr:uid="{E6767C6F-F5F7-4F15-8566-310FEDA75EBF}"/>
  <tableColumns count="15">
    <tableColumn id="9" xr3:uid="{D17DAC68-8FF5-4758-AE85-666F2348FE66}" uniqueName="9" name="projects.id" queryTableFieldId="9"/>
    <tableColumn id="10" xr3:uid="{A8C8222B-0487-4ADD-9FA4-7DC0F92979D6}" uniqueName="10" name="projects.name" queryTableFieldId="10"/>
    <tableColumn id="11" xr3:uid="{0A5A8F59-EF89-48C9-8ECA-A778666B811E}" uniqueName="11" name="projects.url" queryTableFieldId="11"/>
    <tableColumn id="12" xr3:uid="{5E766B3A-F106-4FF5-9FF4-359AB65AF43B}" uniqueName="12" name="projects.state" queryTableFieldId="12"/>
    <tableColumn id="13" xr3:uid="{332E2090-0EE8-4ADD-AB29-03866948AF29}" uniqueName="13" name="projects.revision" queryTableFieldId="13"/>
    <tableColumn id="14" xr3:uid="{2094EFE8-D77E-48AE-81EA-111AF7204347}" uniqueName="14" name="projects.visibility" queryTableFieldId="14"/>
    <tableColumn id="15" xr3:uid="{C2AEFC92-9F2B-4147-8489-E9ED33BD8304}" uniqueName="15" name="projects.lastUpdateTime" queryTableFieldId="15"/>
    <tableColumn id="2" xr3:uid="{73C48A21-9783-45B5-BB57-4CF850AE0D04}" uniqueName="2" name="Column2" queryTableFieldId="21" dataDxfId="1">
      <calculatedColumnFormula>TEXT(DATEVALUE(LEFT(G2,10)),"MMDD/YYYY")</calculatedColumnFormula>
    </tableColumn>
    <tableColumn id="3" xr3:uid="{891E7F91-4825-4965-9B9A-0E9FC500F714}" uniqueName="3" name="LastUpdate" queryTableFieldId="22"/>
    <tableColumn id="4" xr3:uid="{CE2BCEEF-C35E-4B33-AFBF-A834B89F1D10}" uniqueName="4" name="Year" queryTableFieldId="23"/>
    <tableColumn id="16" xr3:uid="{F70638C1-9683-4365-85F4-6D8CC6EAAF30}" uniqueName="16" name="projects.description" queryTableFieldId="16"/>
    <tableColumn id="17" xr3:uid="{772D560B-B588-4E26-9C0A-E275986DE4F1}" uniqueName="17" name="url" queryTableFieldId="17"/>
    <tableColumn id="1" xr3:uid="{4328FDD8-2DD4-4792-98F8-AB85C9B3442C}" uniqueName="1" name="Column1" queryTableFieldId="20" dataDxfId="0">
      <calculatedColumnFormula>MID(L2, 33, 18)</calculatedColumnFormula>
    </tableColumn>
    <tableColumn id="18" xr3:uid="{C6363B7C-E18C-4B68-BBE2-37A6C270C908}" uniqueName="18" name="Collection" queryTableFieldId="18"/>
    <tableColumn id="19" xr3:uid="{8CAFEBE5-3524-47C0-8EB7-D4CBCD4DDB59}" uniqueName="19" name="Collection.id"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kranade@mcdermott.com%20wKprasad@mcdermott.com;%20smaske@mcdermott.com;%20Rathi.T@mcdermott.com;%20Suraj.Jagtap@mcdermott.com" TargetMode="External"/><Relationship Id="rId21" Type="http://schemas.openxmlformats.org/officeDocument/2006/relationships/hyperlink" Target="mailto:scott.harmon@cbi.com,%20venkat.seshuk@mcdermott.com" TargetMode="External"/><Relationship Id="rId42" Type="http://schemas.openxmlformats.org/officeDocument/2006/relationships/hyperlink" Target="mailto:Abhisek.Munshi@mcdermott.com,%20FRedrikana@mcdermott.com%20,%20Smrutilipsa.Nayak@mcdermott.com" TargetMode="External"/><Relationship Id="rId63" Type="http://schemas.openxmlformats.org/officeDocument/2006/relationships/hyperlink" Target="mailto:FRedrikana@mcdermott.com" TargetMode="External"/><Relationship Id="rId84" Type="http://schemas.openxmlformats.org/officeDocument/2006/relationships/hyperlink" Target="mailto:vranjan@mcdermott.com%20,%20manisha.rawat@mcdermott.com" TargetMode="External"/><Relationship Id="rId138" Type="http://schemas.openxmlformats.org/officeDocument/2006/relationships/hyperlink" Target="mailto:scott.harmon@mcdermott.com" TargetMode="External"/><Relationship Id="rId159" Type="http://schemas.openxmlformats.org/officeDocument/2006/relationships/hyperlink" Target="mailto:kranade@mcdermott.com,%20HMajmudar@mcdermott.com" TargetMode="External"/><Relationship Id="rId170" Type="http://schemas.openxmlformats.org/officeDocument/2006/relationships/hyperlink" Target="mailto:llacurom@mcdermott.com%20,AAli@mcdermott.com,%20ZMohammad@mcdermott.com" TargetMode="External"/><Relationship Id="rId107" Type="http://schemas.openxmlformats.org/officeDocument/2006/relationships/hyperlink" Target="mailto:kranade@mcdermott.com,%20HMajmudar@mcdermott.com" TargetMode="External"/><Relationship Id="rId11" Type="http://schemas.openxmlformats.org/officeDocument/2006/relationships/hyperlink" Target="mailto:whitney.thomas@mcdermott.com,%20DocumentumAdmins@mcdermott.com" TargetMode="External"/><Relationship Id="rId32" Type="http://schemas.openxmlformats.org/officeDocument/2006/relationships/hyperlink" Target="mailto:VRanjan@mcdermott.com" TargetMode="External"/><Relationship Id="rId53" Type="http://schemas.openxmlformats.org/officeDocument/2006/relationships/hyperlink" Target="mailto:vranjan@mcdermott.com%20,%20manisha.rawat@mcdermott.com" TargetMode="External"/><Relationship Id="rId74" Type="http://schemas.openxmlformats.org/officeDocument/2006/relationships/hyperlink" Target="mailto:vranjan@mcdermott.com" TargetMode="External"/><Relationship Id="rId128" Type="http://schemas.openxmlformats.org/officeDocument/2006/relationships/hyperlink" Target="mailto:DMSyauqi@mcdermott.com" TargetMode="External"/><Relationship Id="rId149" Type="http://schemas.openxmlformats.org/officeDocument/2006/relationships/hyperlink" Target="mailto:Pankaj.Jadhav2@mcdermott.com," TargetMode="External"/><Relationship Id="rId5" Type="http://schemas.openxmlformats.org/officeDocument/2006/relationships/hyperlink" Target="mailto:Abhisek.Munshi@mcdermott.com%20,%20Smrutilipsa.Nayak@mcdermott.com" TargetMode="External"/><Relationship Id="rId95" Type="http://schemas.openxmlformats.org/officeDocument/2006/relationships/hyperlink" Target="mailto:Ajmal.Usman@mcdermott.com,%20manisha.rawat@mcdermott.com" TargetMode="External"/><Relationship Id="rId160" Type="http://schemas.openxmlformats.org/officeDocument/2006/relationships/hyperlink" Target="mailto:Yogesh.Lipane@mcdermott.com" TargetMode="External"/><Relationship Id="rId181" Type="http://schemas.openxmlformats.org/officeDocument/2006/relationships/hyperlink" Target="mailto:Alexandru.Gliga@mcdermott.com,%20VKhairnar@mcdermott.com,%20Roberto.Sorrentino@mcdermott.com" TargetMode="External"/><Relationship Id="rId22" Type="http://schemas.openxmlformats.org/officeDocument/2006/relationships/hyperlink" Target="mailto:scott.harmon@cbi.com,%20venkat.seshuk@mcdermott.com" TargetMode="External"/><Relationship Id="rId43" Type="http://schemas.openxmlformats.org/officeDocument/2006/relationships/hyperlink" Target="mailto:manisha.rawat@mcdermott.com" TargetMode="External"/><Relationship Id="rId64" Type="http://schemas.openxmlformats.org/officeDocument/2006/relationships/hyperlink" Target="mailto:AKManunggal@mcdermott.com,%20AAmar@mcdermott.com" TargetMode="External"/><Relationship Id="rId118" Type="http://schemas.openxmlformats.org/officeDocument/2006/relationships/hyperlink" Target="mailto:kranade@mcdermott.com;%20nbalaji2@mcdermott.com;%20Suraj.Jagtap@mcdermott.com;%20HMajmudar@mcdermott.com;%20smaske@mcdermott.com%20Pratik.Sawant@mcdermott.com;%20Rathi.T@mcdermott.com%20wKprasad@mcdermott.com" TargetMode="External"/><Relationship Id="rId139" Type="http://schemas.openxmlformats.org/officeDocument/2006/relationships/hyperlink" Target="mailto:Thomas.G.Hulard@mcdermott.com" TargetMode="External"/><Relationship Id="rId85" Type="http://schemas.openxmlformats.org/officeDocument/2006/relationships/hyperlink" Target="mailto:AAmar@mcdermott.com,%20FRedrikana@mcdermott.com%20,%20DMSyauqi@mcdermott.com" TargetMode="External"/><Relationship Id="rId150" Type="http://schemas.openxmlformats.org/officeDocument/2006/relationships/hyperlink" Target="mailto:ctoet@mcdermott.com%20,%20Varsha.Ghadge@mcdermott.com%20,%20vranjan@mcdermott.com%20,%20x.mike.koshel@mcdermott.com" TargetMode="External"/><Relationship Id="rId171" Type="http://schemas.openxmlformats.org/officeDocument/2006/relationships/hyperlink" Target="mailto:KJohnson02@mcdermott.com,%20AAli@mcdermott.com" TargetMode="External"/><Relationship Id="rId12" Type="http://schemas.openxmlformats.org/officeDocument/2006/relationships/hyperlink" Target="mailto:whitney.thomas@mcdermott.com,%20DocumentumAdmins@mcdermott.com" TargetMode="External"/><Relationship Id="rId33" Type="http://schemas.openxmlformats.org/officeDocument/2006/relationships/hyperlink" Target="mailto:vmishra@mcdermott.com%20,%20VRanjan@mcdermott.com" TargetMode="External"/><Relationship Id="rId108" Type="http://schemas.openxmlformats.org/officeDocument/2006/relationships/hyperlink" Target="mailto:kranade@mcdermott.com;%20Narahari.Bangaru@mcdermott.com;%20Thomas.G.Hulard@mcdermott.com;%20Manish.Kumawat@mcdermott.com;%20Nasir.Majeed@mcdermott.com;%20smaske@mcdermott.com;%20wKprasad@mcdermott.com;%20Mina.alimadad@mcdermott.com" TargetMode="External"/><Relationship Id="rId129" Type="http://schemas.openxmlformats.org/officeDocument/2006/relationships/hyperlink" Target="mailto:Christopher.Bahr@mcdermott.com,%20TNguyen@mcdermott.com,%20bparkis@mcdermott.com,%20ZMohammad@mcdermott.com" TargetMode="External"/><Relationship Id="rId54" Type="http://schemas.openxmlformats.org/officeDocument/2006/relationships/hyperlink" Target="mailto:vranjan@mcdermott.com%20,%20manisha.rawat@mcdermott.com" TargetMode="External"/><Relationship Id="rId75" Type="http://schemas.openxmlformats.org/officeDocument/2006/relationships/hyperlink" Target="mailto:Sushil.Prajapati@mcdermott.com" TargetMode="External"/><Relationship Id="rId96" Type="http://schemas.openxmlformats.org/officeDocument/2006/relationships/hyperlink" Target="mailto:Abhisek.Munshi@mcdermott.com,bparkis@mcdermott.com,AAmar@mcdermott.com" TargetMode="External"/><Relationship Id="rId140" Type="http://schemas.openxmlformats.org/officeDocument/2006/relationships/hyperlink" Target="mailto:ATavallali2@mcdermott.com" TargetMode="External"/><Relationship Id="rId161" Type="http://schemas.openxmlformats.org/officeDocument/2006/relationships/hyperlink" Target="mailto:whitney.thomas@mcdermott.com" TargetMode="External"/><Relationship Id="rId182" Type="http://schemas.openxmlformats.org/officeDocument/2006/relationships/hyperlink" Target="mailto:Alexandru.Gliga@mcdermott.com,%20Rahul.Janardhanan2@mcdermott.com" TargetMode="External"/><Relationship Id="rId6" Type="http://schemas.openxmlformats.org/officeDocument/2006/relationships/hyperlink" Target="mailto:Abhisek.Munshi@mcdermott.com%20,%20Smrutilipsa.Nayak@mcdermott.com%20,%20Santhosh.V.Kumar@mcdermott.com%20,%20Samarpan.Banerjee@mcdermott.com" TargetMode="External"/><Relationship Id="rId23" Type="http://schemas.openxmlformats.org/officeDocument/2006/relationships/hyperlink" Target="mailto:VRanjan@mcdermott.com,%20vbhatia@cbi.com,%20VMishra@mcdermott.com,%20scott.harmon@cbi.com%20,%20Atul%20Singhai" TargetMode="External"/><Relationship Id="rId119" Type="http://schemas.openxmlformats.org/officeDocument/2006/relationships/hyperlink" Target="mailto:kranade@mcdermott.com;%20smaske@mcdermott.com;%20wKprasad@mcdermott.com" TargetMode="External"/><Relationship Id="rId44" Type="http://schemas.openxmlformats.org/officeDocument/2006/relationships/hyperlink" Target="mailto:Abhisek.Munshi@mcdermott.com%20,%20Smrutilipsa.Nayak@mcdermott.com" TargetMode="External"/><Relationship Id="rId65" Type="http://schemas.openxmlformats.org/officeDocument/2006/relationships/hyperlink" Target="mailto:mverma@mcdermott.com" TargetMode="External"/><Relationship Id="rId86" Type="http://schemas.openxmlformats.org/officeDocument/2006/relationships/hyperlink" Target="mailto:FRedrikana@mcdermott.com%20,%20manisha.rawat@mcdermott.com" TargetMode="External"/><Relationship Id="rId130" Type="http://schemas.openxmlformats.org/officeDocument/2006/relationships/hyperlink" Target="mailto:ZMohammad@mcdermott.com" TargetMode="External"/><Relationship Id="rId151" Type="http://schemas.openxmlformats.org/officeDocument/2006/relationships/hyperlink" Target="mailto:Yogesh.Lipane@mcdermott.com" TargetMode="External"/><Relationship Id="rId172" Type="http://schemas.openxmlformats.org/officeDocument/2006/relationships/hyperlink" Target="mailto:NUNadhiroh@mcdermott.com,%20llacurom@mcdermott.com,anaseer@mcdermott.com" TargetMode="External"/><Relationship Id="rId13" Type="http://schemas.openxmlformats.org/officeDocument/2006/relationships/hyperlink" Target="mailto:whitney.thomas@mcdermott.com,%20DocumentumAdmins@mcdermott.com" TargetMode="External"/><Relationship Id="rId18" Type="http://schemas.openxmlformats.org/officeDocument/2006/relationships/hyperlink" Target="mailto:whitney.thomas@mcdermott.com,%20DocumentumAdmins@mcdermott.com" TargetMode="External"/><Relationship Id="rId39" Type="http://schemas.openxmlformats.org/officeDocument/2006/relationships/hyperlink" Target="mailto:Santhosh.V.Kumar@mcdermott.com%20,%20Abhisek.Munshi@mcdermott.com" TargetMode="External"/><Relationship Id="rId109" Type="http://schemas.openxmlformats.org/officeDocument/2006/relationships/hyperlink" Target="kranade@mcdermott.com;%20Deepak.Dange@mcdermott.com;%20hgaba@mcdermott.com;%20Pankaj.Jadhav2@mcdermott.com;%20jsangram@mcdermott.com;%20Mansi.Kulkarni@mcdermott.com;%20Yogesh.Lipane@mcdermott.com;%20HMajmudar@mcdermott.com;%20smaske@mcdermott.com;%20kranade@mcdermott.com;%20sranganathan@mcdermott.com;%20Rohit.Soni@mcdermott.com;%20Sachin.Todkar@mcdermott.com;%20wKprasad@mcdermott.com" TargetMode="External"/><Relationship Id="rId34" Type="http://schemas.openxmlformats.org/officeDocument/2006/relationships/hyperlink" Target="kranade@mcdermott.com;%20Deepak.Dange@mcdermott.com;%20hgaba@mcdermott.com;%20Pankaj.Jadhav2@mcdermott.com;%20jsangram@mcdermott.com;%20Mansi.Kulkarni@mcdermott.com;%20Yogesh.Lipane@mcdermott.com;%20HMajmudar@mcdermott.com;%20smaske@mcdermott.com;%20kranade@mcdermott.com;%20sranganathan@mcdermott.com;%20Rohit.Soni@mcdermott.com;%20Sachin.Todkar@mcdermott.com;%20wKprasad@mcdermott.com" TargetMode="External"/><Relationship Id="rId50" Type="http://schemas.openxmlformats.org/officeDocument/2006/relationships/hyperlink" Target="mailto:vranjan@mcdermott.com,%20AAli@mcdermott.com" TargetMode="External"/><Relationship Id="rId55" Type="http://schemas.openxmlformats.org/officeDocument/2006/relationships/hyperlink" Target="mailto:vranjan@mcdermott.com" TargetMode="External"/><Relationship Id="rId76" Type="http://schemas.openxmlformats.org/officeDocument/2006/relationships/hyperlink" Target="mailto:vranjan@mcdermott.com" TargetMode="External"/><Relationship Id="rId97" Type="http://schemas.openxmlformats.org/officeDocument/2006/relationships/hyperlink" Target="mailto:Abhisek.Munshi@mcdermott.com" TargetMode="External"/><Relationship Id="rId104" Type="http://schemas.openxmlformats.org/officeDocument/2006/relationships/hyperlink" Target="mailto:whitney.thomas@cbi.com" TargetMode="External"/><Relationship Id="rId120" Type="http://schemas.openxmlformats.org/officeDocument/2006/relationships/hyperlink" Target="mailto:Mina.alimadad@mcdermott.com,%20richa.banotra@mcdermott.com,%20Thomas.G.Hulard@mcdermott.com" TargetMode="External"/><Relationship Id="rId125" Type="http://schemas.openxmlformats.org/officeDocument/2006/relationships/hyperlink" Target="mailto:bparkis@mcdermott.com%20richa.banotra@mcdermott.com,%20Thomas.G.Hulard@mcdermott.com" TargetMode="External"/><Relationship Id="rId141" Type="http://schemas.openxmlformats.org/officeDocument/2006/relationships/hyperlink" Target="mailto:Vasil.Shteriyanov@mcdermott.com%20,%20Daniel.Yanezdiaz@mcdermott.com" TargetMode="External"/><Relationship Id="rId146" Type="http://schemas.openxmlformats.org/officeDocument/2006/relationships/hyperlink" Target="mailto:kranade@mcdermott.com;%20smaske@mcdermott.com" TargetMode="External"/><Relationship Id="rId167" Type="http://schemas.openxmlformats.org/officeDocument/2006/relationships/hyperlink" Target="mailto:AAli@mcdermott.com" TargetMode="External"/><Relationship Id="rId7" Type="http://schemas.openxmlformats.org/officeDocument/2006/relationships/hyperlink" Target="mailto:kranade@mcdermott.com" TargetMode="External"/><Relationship Id="rId71" Type="http://schemas.openxmlformats.org/officeDocument/2006/relationships/hyperlink" Target="mailto:whitney.thomas@mcdermott.com,%20DocumentumAdmins@mcdermott.com" TargetMode="External"/><Relationship Id="rId92" Type="http://schemas.openxmlformats.org/officeDocument/2006/relationships/hyperlink" Target="mailto:Chhavi.Dutt@mcdermott.com%20,%20Santhosh.V.Kumar@mcdermott.com%20,%20Sreejith.R@mcdermott.com" TargetMode="External"/><Relationship Id="rId162" Type="http://schemas.openxmlformats.org/officeDocument/2006/relationships/hyperlink" Target="mailto:VMishra@mcdermott.com" TargetMode="External"/><Relationship Id="rId183" Type="http://schemas.openxmlformats.org/officeDocument/2006/relationships/hyperlink" Target="mailto:NUNadhiroh@mcdermott.com" TargetMode="External"/><Relationship Id="rId2" Type="http://schemas.openxmlformats.org/officeDocument/2006/relationships/hyperlink" Target="mailto:VSPotkuchi@mcdermott.com%20,%20whitney.thomas@mcdermott.com" TargetMode="External"/><Relationship Id="rId29" Type="http://schemas.openxmlformats.org/officeDocument/2006/relationships/hyperlink" Target="http://dalptfs01:8080/tfs/MiddleEast/_apis/projects/a4513dc6-da70-44c9-bfde-ef5e62ba0de7" TargetMode="External"/><Relationship Id="rId24" Type="http://schemas.openxmlformats.org/officeDocument/2006/relationships/hyperlink" Target="mailto:AAli@mcdermott.com%20,%20Bobbi%20Parkis" TargetMode="External"/><Relationship Id="rId40" Type="http://schemas.openxmlformats.org/officeDocument/2006/relationships/hyperlink" Target="mailto:vmishra@mcdermott.com" TargetMode="External"/><Relationship Id="rId45" Type="http://schemas.openxmlformats.org/officeDocument/2006/relationships/hyperlink" Target="mailto:vranjan@mcdermott.com" TargetMode="External"/><Relationship Id="rId66" Type="http://schemas.openxmlformats.org/officeDocument/2006/relationships/hyperlink" Target="mailto:manisha.rawat@mcdermott.com" TargetMode="External"/><Relationship Id="rId87" Type="http://schemas.openxmlformats.org/officeDocument/2006/relationships/hyperlink" Target="mailto:Christopher.Bahr@mcdermott.com%20,%20Abhisek.Munshi@mcdermott.com" TargetMode="External"/><Relationship Id="rId110" Type="http://schemas.openxmlformats.org/officeDocument/2006/relationships/hyperlink" Target="kranade@mcdermott.com;%20;%20hgaba@mcdermott.com;%20Pankaj.Jadhav2@mcdermott.com;%20jsangram@mcdermott.com;%20Mansi.Kulkarni@mcdermott.com;%20Yogesh.Lipane@mcdermott.com;%20HMajmudar@mcdermott.com;%20smaske@mcdermott.com;%20kranade@mcdermott.com;%20sranganathan@mcdermott.com;%20Rohit.Soni@mcdermott.com;%20Sachin.Todkar@mcdermott.com;%20wKprasad@mcdermott.com" TargetMode="External"/><Relationship Id="rId115" Type="http://schemas.openxmlformats.org/officeDocument/2006/relationships/hyperlink" Target="mailto:vranjan@mcdermott.com%20,%20manisha.rawat@mcdermott.com" TargetMode="External"/><Relationship Id="rId131" Type="http://schemas.openxmlformats.org/officeDocument/2006/relationships/hyperlink" Target="mailto:SKYeleswaram@mcdermott.com,%20TNguyen@mcdermott.com," TargetMode="External"/><Relationship Id="rId136" Type="http://schemas.openxmlformats.org/officeDocument/2006/relationships/hyperlink" Target="mailto:CGeorge@mcdermott.com%20rjacob2@mcdermott.com" TargetMode="External"/><Relationship Id="rId157" Type="http://schemas.openxmlformats.org/officeDocument/2006/relationships/hyperlink" Target="mailto:smaske@mcdermott.com" TargetMode="External"/><Relationship Id="rId178" Type="http://schemas.openxmlformats.org/officeDocument/2006/relationships/hyperlink" Target="mailto:Atul.Singhai@mcdermott.com;%20x.mike.koshel@mcdermott.com;%20VMishra@mcdermott.com;%20VSlavov@mcdermott.com;%20CToet@mcdermott.com;%20Jeremy.Wier@mcdermott.com" TargetMode="External"/><Relationship Id="rId61" Type="http://schemas.openxmlformats.org/officeDocument/2006/relationships/hyperlink" Target="kranade@mcdermott.com;%20;%20hgaba@mcdermott.com;%20Pankaj.Jadhav2@mcdermott.com;%20jsangram@mcdermott.com;%20Mansi.Kulkarni@mcdermott.com;%20Yogesh.Lipane@mcdermott.com;%20HMajmudar@mcdermott.com;%20smaske@mcdermott.com;%20kranade@mcdermott.com;%20sranganathan@mcdermott.com;%20Rohit.Soni@mcdermott.com;%20Sachin.Todkar@mcdermott.com;%20wKprasad@mcdermott.com" TargetMode="External"/><Relationship Id="rId82" Type="http://schemas.openxmlformats.org/officeDocument/2006/relationships/hyperlink" Target="mailto:kranade@mcdermott.com;%20Yogesh.Lipane@mcdermott.com;%20Nagnath.Mungade@mcdermott.com" TargetMode="External"/><Relationship Id="rId152" Type="http://schemas.openxmlformats.org/officeDocument/2006/relationships/hyperlink" Target="mailto:wKprasad@mcdermott.com" TargetMode="External"/><Relationship Id="rId173" Type="http://schemas.openxmlformats.org/officeDocument/2006/relationships/hyperlink" Target="mailto:JRLaurito@mcdermott.com" TargetMode="External"/><Relationship Id="rId19" Type="http://schemas.openxmlformats.org/officeDocument/2006/relationships/hyperlink" Target="mailto:Abhisek.Munshi@mcdermott.com,%20Smrutilipsa.Nayak@mcdermott.com" TargetMode="External"/><Relationship Id="rId14" Type="http://schemas.openxmlformats.org/officeDocument/2006/relationships/hyperlink" Target="mailto:Santhosh.V.Kumar@mcdermott.com" TargetMode="External"/><Relationship Id="rId30" Type="http://schemas.openxmlformats.org/officeDocument/2006/relationships/hyperlink" Target="mailto:whitney.thomas@mcdermott.com,%20DocumentumAdmins@mcdermott.com" TargetMode="External"/><Relationship Id="rId35" Type="http://schemas.openxmlformats.org/officeDocument/2006/relationships/hyperlink" Target="mailto:whitney.thomas@mcdermott.com,%20DocumentumAdmins@mcdermott.com" TargetMode="External"/><Relationship Id="rId56" Type="http://schemas.openxmlformats.org/officeDocument/2006/relationships/hyperlink" Target="mailto:Abhisek.Munshi@mcdermott.com,%20Santhosh.V.Kumar@mcdermott.com" TargetMode="External"/><Relationship Id="rId77" Type="http://schemas.openxmlformats.org/officeDocument/2006/relationships/hyperlink" Target="mailto:manisha.rawat@mcdermott.com" TargetMode="External"/><Relationship Id="rId100" Type="http://schemas.openxmlformats.org/officeDocument/2006/relationships/hyperlink" Target="mailto:Abhisek.Munshi@mcdermott.com,%20Santhosh.V.Kumar@mcdermott.com" TargetMode="External"/><Relationship Id="rId105" Type="http://schemas.openxmlformats.org/officeDocument/2006/relationships/hyperlink" Target="mailto:Abhisek.Munshi@mcdermott.com%20,%20Samarpan.Banerjee@mcdermott.com" TargetMode="External"/><Relationship Id="rId126" Type="http://schemas.openxmlformats.org/officeDocument/2006/relationships/hyperlink" Target="mailto:Rakesh.Dhummi@mcdermott.com" TargetMode="External"/><Relationship Id="rId147" Type="http://schemas.openxmlformats.org/officeDocument/2006/relationships/hyperlink" Target="Nagnath.Mungade@mcdermott.com:%20Nagnath.Mungade@mcdermott.com" TargetMode="External"/><Relationship Id="rId168" Type="http://schemas.openxmlformats.org/officeDocument/2006/relationships/hyperlink" Target="mailto:Abhay.Jain@mcdermott.com" TargetMode="External"/><Relationship Id="rId8" Type="http://schemas.openxmlformats.org/officeDocument/2006/relationships/hyperlink" Target="mailto:bparkis@mcdermott.com%20,richa.banotra@mcdermott.com,%20Thomas.G.Hulard@mcdermott.com" TargetMode="External"/><Relationship Id="rId51" Type="http://schemas.openxmlformats.org/officeDocument/2006/relationships/hyperlink" Target="mailto:kranade@mcdermott.com" TargetMode="External"/><Relationship Id="rId72" Type="http://schemas.openxmlformats.org/officeDocument/2006/relationships/hyperlink" Target="mailto:vranjan@mcdermott.com%20,%20nkumar6@mcdermott.com" TargetMode="External"/><Relationship Id="rId93" Type="http://schemas.openxmlformats.org/officeDocument/2006/relationships/hyperlink" Target="mailto:scott.harmon@mcdermott.com" TargetMode="External"/><Relationship Id="rId98" Type="http://schemas.openxmlformats.org/officeDocument/2006/relationships/hyperlink" Target="mailto:vranjan@mcdermott.com%20,%20nkumar6@mcdermott.com" TargetMode="External"/><Relationship Id="rId121" Type="http://schemas.openxmlformats.org/officeDocument/2006/relationships/hyperlink" Target="mailto:Abhisek.Munshi@mcdermott.com%20,%20Smrutilipsa.Nayak@mcdermott.com%20,%20Santhosh.V.Kumar@mcdermott.com%20,%20Samarpan.Banerjee@mcdermott.com,%20Aulia.Molanda@mcdermott.com" TargetMode="External"/><Relationship Id="rId142" Type="http://schemas.openxmlformats.org/officeDocument/2006/relationships/hyperlink" Target="mailto:Nikhil.Singhi@mcdermott.com" TargetMode="External"/><Relationship Id="rId163" Type="http://schemas.openxmlformats.org/officeDocument/2006/relationships/hyperlink" Target="mailto:aali@mcdermott.com" TargetMode="External"/><Relationship Id="rId184" Type="http://schemas.openxmlformats.org/officeDocument/2006/relationships/hyperlink" Target="mailto:NUNadhiroh@mcdermott.com/Dodi/FArid%20Redrikana" TargetMode="External"/><Relationship Id="rId3" Type="http://schemas.openxmlformats.org/officeDocument/2006/relationships/hyperlink" Target="mailto:manisha.rawat@mcdermott.com" TargetMode="External"/><Relationship Id="rId25" Type="http://schemas.openxmlformats.org/officeDocument/2006/relationships/hyperlink" Target="mailto:kranade@mcdermott.com;%20Mansi.Kulkarni@mcdermott.com;%20Yogesh.Lipane@mcdermott.com;%20%20Nagnath.Mungade@mcdermott.com" TargetMode="External"/><Relationship Id="rId46" Type="http://schemas.openxmlformats.org/officeDocument/2006/relationships/hyperlink" Target="mailto:Mithlesh.Kumar@mcdermott.com" TargetMode="External"/><Relationship Id="rId67" Type="http://schemas.openxmlformats.org/officeDocument/2006/relationships/hyperlink" Target="mailto:vmishra@mcdermott.com%20,%20VRanjan@mcdermott.com" TargetMode="External"/><Relationship Id="rId116" Type="http://schemas.openxmlformats.org/officeDocument/2006/relationships/hyperlink" Target="mailto:manisha.rawat@mcdermott.com" TargetMode="External"/><Relationship Id="rId137" Type="http://schemas.openxmlformats.org/officeDocument/2006/relationships/hyperlink" Target="mailto:ASrivastava02@mcdermott.com%20ZMohammad@mcdermott.com" TargetMode="External"/><Relationship Id="rId158" Type="http://schemas.openxmlformats.org/officeDocument/2006/relationships/hyperlink" Target="mailto:wKprasad@mcdermott.com" TargetMode="External"/><Relationship Id="rId20" Type="http://schemas.openxmlformats.org/officeDocument/2006/relationships/hyperlink" Target="mailto:Sharon.George@mcdermott.com%20,%20Anu.Justin@mcdermott.com%20,%20Manohar.Kokare@mcdermott.com" TargetMode="External"/><Relationship Id="rId41" Type="http://schemas.openxmlformats.org/officeDocument/2006/relationships/hyperlink" Target="kranade@mcdermott.com%20Pankaj.Jadhav2@mcdermott.com;%20Suraj.Jagtap@mcdermott.com;%20Vishal.Kudale@mcdermott.com;%20Yogesh.Lipane@mcdermott.com;%20HMajmudar@mcdermott.com;smaske@mcdermott.com;%20Pratik.Sawant@mcdermott.com;%20Manohar.Vare@mcdermott.com;%20wKprasad@mcdermott.com" TargetMode="External"/><Relationship Id="rId62" Type="http://schemas.openxmlformats.org/officeDocument/2006/relationships/hyperlink" Target="mailto:whitney.thomas@mcdermott.com,%20DocumentumAdmins@mcdermott.com" TargetMode="External"/><Relationship Id="rId83" Type="http://schemas.openxmlformats.org/officeDocument/2006/relationships/hyperlink" Target="mailto:Santhosh.V.Kumar@mcdermott.com%20,%20Abhisek.Munshi@mcdermott.com,%20manisha.rawat@mcdermott.com" TargetMode="External"/><Relationship Id="rId88" Type="http://schemas.openxmlformats.org/officeDocument/2006/relationships/hyperlink" Target="mailto:scott.harmon@mcdermott.com" TargetMode="External"/><Relationship Id="rId111" Type="http://schemas.openxmlformats.org/officeDocument/2006/relationships/hyperlink" Target="mailto:ctoet@mcdermott.com%20,%20Varsha.Ghadge@mcdermott.com%20,%20vranjan@mcdermott.com%20,%20x.mike.koshel@mcdermott.com" TargetMode="External"/><Relationship Id="rId132" Type="http://schemas.openxmlformats.org/officeDocument/2006/relationships/hyperlink" Target="mailto:rjacob2@mcdermott.com" TargetMode="External"/><Relationship Id="rId153" Type="http://schemas.openxmlformats.org/officeDocument/2006/relationships/hyperlink" Target="mailto:wKprasad@mcdermott.com" TargetMode="External"/><Relationship Id="rId174" Type="http://schemas.openxmlformats.org/officeDocument/2006/relationships/hyperlink" Target="mailto:kranade@mcdermott.com" TargetMode="External"/><Relationship Id="rId179" Type="http://schemas.openxmlformats.org/officeDocument/2006/relationships/hyperlink" Target="mailto:Atul.Singhai@mcdermott.com;%20x.mike.koshel@mcdermott.com;%20VMishra@mcdermott.com;%20VSlavov@mcdermott.com;%20CToet@mcdermott.com;%20Jeremy.Wier@mcdermott.com" TargetMode="External"/><Relationship Id="rId15" Type="http://schemas.openxmlformats.org/officeDocument/2006/relationships/hyperlink" Target="mailto:Akshay.Singh@mcdermott.com,%20manisha.rawat@mcdermott.com" TargetMode="External"/><Relationship Id="rId36" Type="http://schemas.openxmlformats.org/officeDocument/2006/relationships/hyperlink" Target="mailto:kranade@mcdermott.com%20smaske@mcdermott.com" TargetMode="External"/><Relationship Id="rId57" Type="http://schemas.openxmlformats.org/officeDocument/2006/relationships/hyperlink" Target="mailto:whitney.thomas@mcdermott.com,%20DocumentumAdmins@mcdermott.com" TargetMode="External"/><Relationship Id="rId106" Type="http://schemas.openxmlformats.org/officeDocument/2006/relationships/hyperlink" Target="mailto:scott.harmon@cbi.com%20,%20Santhosh.V.Kumar@mcdermott.com" TargetMode="External"/><Relationship Id="rId127" Type="http://schemas.openxmlformats.org/officeDocument/2006/relationships/hyperlink" Target="mailto:Carson.Daspit@cbi.com" TargetMode="External"/><Relationship Id="rId10" Type="http://schemas.openxmlformats.org/officeDocument/2006/relationships/hyperlink" Target="mailto:ZMohammad@mcdermott.com,%20manisha.rawat@mcdermott.com" TargetMode="External"/><Relationship Id="rId31" Type="http://schemas.openxmlformats.org/officeDocument/2006/relationships/hyperlink" Target="mailto:bparkis@mcdermott.com%20,richa.banotra@mcdermott.com,%20Thomas.G.Hulard@mcdermott.com" TargetMode="External"/><Relationship Id="rId52" Type="http://schemas.openxmlformats.org/officeDocument/2006/relationships/hyperlink" Target="mailto:whitney.thomas@mcdermott.com,%20DocumentumAdmins@mcdermott.com" TargetMode="External"/><Relationship Id="rId73" Type="http://schemas.openxmlformats.org/officeDocument/2006/relationships/hyperlink" Target="mailto:vranjan@mcdermott.com,%20AAli@mcdermott.com,%20Santhosh.V.Kumar@mcdermott.com" TargetMode="External"/><Relationship Id="rId78" Type="http://schemas.openxmlformats.org/officeDocument/2006/relationships/hyperlink" Target="mailto:Aouthu.Sunanda2@mcdermott.com%20,%20MZiyad@mcdermott.com%20,%20rjacob2@mcdermott.com%20Trina.Hua@mcdermott.com" TargetMode="External"/><Relationship Id="rId94" Type="http://schemas.openxmlformats.org/officeDocument/2006/relationships/hyperlink" Target="mailto:vranjan@mcdermott.com" TargetMode="External"/><Relationship Id="rId99" Type="http://schemas.openxmlformats.org/officeDocument/2006/relationships/hyperlink" Target="mailto:Aouthu.Sunanda2@mcdermott.com%20,%20MZiyad@mcdermott.com%20,%20rjacob2@mcdermott.com" TargetMode="External"/><Relationship Id="rId101" Type="http://schemas.openxmlformats.org/officeDocument/2006/relationships/hyperlink" Target="mailto:bparkis@mcdermott.com" TargetMode="External"/><Relationship Id="rId122" Type="http://schemas.openxmlformats.org/officeDocument/2006/relationships/hyperlink" Target="mailto:kranade@mcdermott.com;%20Deepak.Dange@mcdermott.com;%20Yogesh.Lipane@mcdermott.com;%20HMajmudar@mcdermott.com;%20smaske@mcdermott.com;%20varun.varun@mcdermott.com;%20jsangram@mcdermott.com" TargetMode="External"/><Relationship Id="rId143" Type="http://schemas.openxmlformats.org/officeDocument/2006/relationships/hyperlink" Target="mailto:kranade@mcdermott.com;%20smaske@mcdermott.com" TargetMode="External"/><Relationship Id="rId148" Type="http://schemas.openxmlformats.org/officeDocument/2006/relationships/hyperlink" Target="mailto:Yogesh.Lipane@mcdermott.com%20,%20wKprasad@mcdermott.com" TargetMode="External"/><Relationship Id="rId164" Type="http://schemas.openxmlformats.org/officeDocument/2006/relationships/hyperlink" Target="mailto:Saravana.Kumar@mcdermott.com" TargetMode="External"/><Relationship Id="rId169" Type="http://schemas.openxmlformats.org/officeDocument/2006/relationships/hyperlink" Target="mailto:llacurom@mcdermott.com%20AAli@mcdermott.com,%20ZMohammad@mcdermott.com" TargetMode="External"/><Relationship Id="rId185" Type="http://schemas.openxmlformats.org/officeDocument/2006/relationships/hyperlink" Target="mailto:SKYeleswaram@mcdermott.com" TargetMode="External"/><Relationship Id="rId4" Type="http://schemas.openxmlformats.org/officeDocument/2006/relationships/hyperlink" Target="mailto:Thomas.G.Hulard@mcdermott.com" TargetMode="External"/><Relationship Id="rId9" Type="http://schemas.openxmlformats.org/officeDocument/2006/relationships/hyperlink" Target="mailto:kranade@mcdermott.com;%20Deepak.Dange@mcdermott.com;%20Yogesh.Lipane@mcdermott.com;%20HMajmudar@mcdermott.com;%20smaske@mcdermott.com;%20varun.varun@mcdermott.com;%20jsangram@mcdermott.com" TargetMode="External"/><Relationship Id="rId180" Type="http://schemas.openxmlformats.org/officeDocument/2006/relationships/hyperlink" Target="mailto:cgeorge@mcdermott.com;%20nkumar6@mcdermott.com" TargetMode="External"/><Relationship Id="rId26" Type="http://schemas.openxmlformats.org/officeDocument/2006/relationships/hyperlink" Target="mailto:VRanjan@mcdermott.com" TargetMode="External"/><Relationship Id="rId47" Type="http://schemas.openxmlformats.org/officeDocument/2006/relationships/hyperlink" Target="mailto:sa.sxb3@mcdermott.com%20,%20Santhosh.V.Kumar@mcdermott.com" TargetMode="External"/><Relationship Id="rId68" Type="http://schemas.openxmlformats.org/officeDocument/2006/relationships/hyperlink" Target="mailto:Christopher.Bahr@mcdermott.com,%20bparkis@mcdermott.com" TargetMode="External"/><Relationship Id="rId89" Type="http://schemas.openxmlformats.org/officeDocument/2006/relationships/hyperlink" Target="mailto:vranjan@mcdermott.com,%20FRedrikana@mcdermott.com%20,%20DMSyauqi@mcdermott.com" TargetMode="External"/><Relationship Id="rId112" Type="http://schemas.openxmlformats.org/officeDocument/2006/relationships/hyperlink" Target="mailto:kranade@mcdermott.com;%20wKprasad@mcdermott.com" TargetMode="External"/><Relationship Id="rId133" Type="http://schemas.openxmlformats.org/officeDocument/2006/relationships/hyperlink" Target="mailto:bparkis@mcdermott.com,%20SKYeleswaram@mcdermott.com" TargetMode="External"/><Relationship Id="rId154" Type="http://schemas.openxmlformats.org/officeDocument/2006/relationships/hyperlink" Target="mailto:kranade@mcdermott.com;%20Pankaj.Jadhav2@mcdermott.com;%20wKprasad@mcdermott.com" TargetMode="External"/><Relationship Id="rId175" Type="http://schemas.openxmlformats.org/officeDocument/2006/relationships/hyperlink" Target="mailto:manisha.rawat@mcdermott.com,Abhisek.Munshi@mcdermott.com" TargetMode="External"/><Relationship Id="rId16" Type="http://schemas.openxmlformats.org/officeDocument/2006/relationships/hyperlink" Target="mailto:whitney.thomas@mcdermott.com,%20DocumentumAdmins@mcdermott.com" TargetMode="External"/><Relationship Id="rId37" Type="http://schemas.openxmlformats.org/officeDocument/2006/relationships/hyperlink" Target="mailto:manisha.rawat@mcdermott.com" TargetMode="External"/><Relationship Id="rId58" Type="http://schemas.openxmlformats.org/officeDocument/2006/relationships/hyperlink" Target="mailto:manisha.rawat@mcdermott.com" TargetMode="External"/><Relationship Id="rId79" Type="http://schemas.openxmlformats.org/officeDocument/2006/relationships/hyperlink" Target="mailto:ZMohammad@mcdermott.com%20,%20bparkis@mcdermott.com" TargetMode="External"/><Relationship Id="rId102" Type="http://schemas.openxmlformats.org/officeDocument/2006/relationships/hyperlink" Target="mailto:bparkis@mcdermott.com%20richa.banotra@mcdermott.com,%20Thomas.G.Hulard@mcdermott.com" TargetMode="External"/><Relationship Id="rId123" Type="http://schemas.openxmlformats.org/officeDocument/2006/relationships/hyperlink" Target="mailto:kranade@mcdermott.com" TargetMode="External"/><Relationship Id="rId144" Type="http://schemas.openxmlformats.org/officeDocument/2006/relationships/hyperlink" Target="mailto:HMajmudar@mcdermott.com" TargetMode="External"/><Relationship Id="rId90" Type="http://schemas.openxmlformats.org/officeDocument/2006/relationships/hyperlink" Target="mailto:vranjan@mcdermott.com,%20whitney.thomas@mcdermott.com%20,%20Santhosh.V.Kumar@mcdermott.com" TargetMode="External"/><Relationship Id="rId165" Type="http://schemas.openxmlformats.org/officeDocument/2006/relationships/hyperlink" Target="mailto:nwongwisit@mcdermott.com" TargetMode="External"/><Relationship Id="rId186" Type="http://schemas.openxmlformats.org/officeDocument/2006/relationships/table" Target="../tables/table1.xml"/><Relationship Id="rId27" Type="http://schemas.openxmlformats.org/officeDocument/2006/relationships/hyperlink" Target="mailto:jeremy.wier@mcdermott.com" TargetMode="External"/><Relationship Id="rId48" Type="http://schemas.openxmlformats.org/officeDocument/2006/relationships/hyperlink" Target="mailto:manisha.rawat@mcdermott.com" TargetMode="External"/><Relationship Id="rId69" Type="http://schemas.openxmlformats.org/officeDocument/2006/relationships/hyperlink" Target="mailto:rmanjares@mcdermott.com,%20Abhisek.Munshi@mcdermott.com," TargetMode="External"/><Relationship Id="rId113" Type="http://schemas.openxmlformats.org/officeDocument/2006/relationships/hyperlink" Target="kranade@mcdermott.com;%20Suraj.Jagtap@mcdermott.com;%20Vishal.Kudale@mcdermott.com;%20Pankaj.Jadhav2@mcdermott.com;%20HMajmudar@mcdermott.com;%20smaske@mcdermott.com;%20Rohit.Soni@mcdermott.com;%20Pratik.Sawant@mcdermott.com;%20Rathi.T@mcdermott.com;%20wKprasad@mcdermott.com" TargetMode="External"/><Relationship Id="rId134" Type="http://schemas.openxmlformats.org/officeDocument/2006/relationships/hyperlink" Target="mailto:rjacob2@mcdermott.com%20,%20ZMohammad@mcdermott.com%20,%20ASantoso@mcdermott.com%20,%20Chhavi.Dutt@mcdermott.com" TargetMode="External"/><Relationship Id="rId80" Type="http://schemas.openxmlformats.org/officeDocument/2006/relationships/hyperlink" Target="mailto:whitney.thomas@mcdermott.com" TargetMode="External"/><Relationship Id="rId155" Type="http://schemas.openxmlformats.org/officeDocument/2006/relationships/hyperlink" Target="mailto:smaske@mcdermott.com" TargetMode="External"/><Relationship Id="rId176" Type="http://schemas.openxmlformats.org/officeDocument/2006/relationships/hyperlink" Target="mailto:Santhosh.V.Kumar@mcdermott.com" TargetMode="External"/><Relationship Id="rId17" Type="http://schemas.openxmlformats.org/officeDocument/2006/relationships/hyperlink" Target="mailto:whitney.thomas@mcdermott.com,%20DocumentumAdmins@mcdermott.com" TargetMode="External"/><Relationship Id="rId38" Type="http://schemas.openxmlformats.org/officeDocument/2006/relationships/hyperlink" Target="mailto:manisha.rawat@mcdermott.com" TargetMode="External"/><Relationship Id="rId59" Type="http://schemas.openxmlformats.org/officeDocument/2006/relationships/hyperlink" Target="mailto:manisha.rawat@mcdermott.com" TargetMode="External"/><Relationship Id="rId103" Type="http://schemas.openxmlformats.org/officeDocument/2006/relationships/hyperlink" Target="mailto:bparkis@mcdermott.com%20richa.banotra@mcdermott.com,%20Thomas.G.Hulard@mcdermott.com" TargetMode="External"/><Relationship Id="rId124" Type="http://schemas.openxmlformats.org/officeDocument/2006/relationships/hyperlink" Target="mailto:kranade@mcdermott.com" TargetMode="External"/><Relationship Id="rId70" Type="http://schemas.openxmlformats.org/officeDocument/2006/relationships/hyperlink" Target="mailto:Smrutilipsa.Nayak@mcdermott.com%20Smrutilipsa.Nayak@mcdermott.com" TargetMode="External"/><Relationship Id="rId91" Type="http://schemas.openxmlformats.org/officeDocument/2006/relationships/hyperlink" Target="mailto:Binod.Gupta@mcdermott.com,%20FRedrikana@mcdermott.com%20,%20vranjan@mcdermott.com" TargetMode="External"/><Relationship Id="rId145" Type="http://schemas.openxmlformats.org/officeDocument/2006/relationships/hyperlink" Target="Pratik.Sawant@mcdermott.com:%20kranade@mcdermott.com;%20smaske@mcdermott.com" TargetMode="External"/><Relationship Id="rId166" Type="http://schemas.openxmlformats.org/officeDocument/2006/relationships/hyperlink" Target="mailto:llacurom@mcdermott.com,%20anaseer@mcdermott.com" TargetMode="External"/><Relationship Id="rId1" Type="http://schemas.openxmlformats.org/officeDocument/2006/relationships/hyperlink" Target="http://dalptfs01:8080/tfs/_apis/projectCollections/24c847e5-893a-4dc4-90d3-3641474fea61" TargetMode="External"/><Relationship Id="rId28" Type="http://schemas.openxmlformats.org/officeDocument/2006/relationships/hyperlink" Target="mailto:vranjan@mcdermott.com,%20AAli@mcdermott.com" TargetMode="External"/><Relationship Id="rId49" Type="http://schemas.openxmlformats.org/officeDocument/2006/relationships/hyperlink" Target="mailto:sa.sxb3@mcdermott.com%20,%20Santhosh.V.Kumar@mcdermott.com" TargetMode="External"/><Relationship Id="rId114" Type="http://schemas.openxmlformats.org/officeDocument/2006/relationships/hyperlink" Target="mailto:kranade@mcdermott.com%20Rohit.Soni@mcdermott.com" TargetMode="External"/><Relationship Id="rId60" Type="http://schemas.openxmlformats.org/officeDocument/2006/relationships/hyperlink" Target="mailto:manisha.rawat@mcdermott.com" TargetMode="External"/><Relationship Id="rId81" Type="http://schemas.openxmlformats.org/officeDocument/2006/relationships/hyperlink" Target="mailto:bradley.ingle@mcdermott.com,%20paul.catanzaro@cbi.com" TargetMode="External"/><Relationship Id="rId135" Type="http://schemas.openxmlformats.org/officeDocument/2006/relationships/hyperlink" Target="mailto:bparkis@mcdermott.com,%20SKYeleswaram@mcdermott.com" TargetMode="External"/><Relationship Id="rId156" Type="http://schemas.openxmlformats.org/officeDocument/2006/relationships/hyperlink" Target="mailto:smaske@mcdermott.com" TargetMode="External"/><Relationship Id="rId177" Type="http://schemas.openxmlformats.org/officeDocument/2006/relationships/hyperlink" Target="mailto:manisha.rawat@mcdermott.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kranade@mcdermott.com%20wKprasad@mcdermott.com;%20smaske@mcdermott.com;%20Rathi.T@mcdermott.com;%20Suraj.Jagtap@mcdermott.com" TargetMode="External"/><Relationship Id="rId21" Type="http://schemas.openxmlformats.org/officeDocument/2006/relationships/hyperlink" Target="mailto:scott.harmon@cbi.com,%20venkat.seshuk@mcdermott.com" TargetMode="External"/><Relationship Id="rId42" Type="http://schemas.openxmlformats.org/officeDocument/2006/relationships/hyperlink" Target="mailto:Abhisek.Munshi@mcdermott.com,%20FRedrikana@mcdermott.com%20,%20Smrutilipsa.Nayak@mcdermott.com" TargetMode="External"/><Relationship Id="rId63" Type="http://schemas.openxmlformats.org/officeDocument/2006/relationships/hyperlink" Target="mailto:FRedrikana@mcdermott.com" TargetMode="External"/><Relationship Id="rId84" Type="http://schemas.openxmlformats.org/officeDocument/2006/relationships/hyperlink" Target="mailto:vranjan@mcdermott.com%20,%20manisha.rawat@mcdermott.com" TargetMode="External"/><Relationship Id="rId138" Type="http://schemas.openxmlformats.org/officeDocument/2006/relationships/hyperlink" Target="mailto:ASrivastava02@mcdermott.com%20ZMohammad@mcdermott.com" TargetMode="External"/><Relationship Id="rId159" Type="http://schemas.openxmlformats.org/officeDocument/2006/relationships/hyperlink" Target="mailto:smaske@mcdermott.com" TargetMode="External"/><Relationship Id="rId170" Type="http://schemas.openxmlformats.org/officeDocument/2006/relationships/hyperlink" Target="mailto:Abhay.Jain@mcdermott.com" TargetMode="External"/><Relationship Id="rId107" Type="http://schemas.openxmlformats.org/officeDocument/2006/relationships/hyperlink" Target="mailto:kranade@mcdermott.com,%20HMajmudar@mcdermott.com" TargetMode="External"/><Relationship Id="rId11" Type="http://schemas.openxmlformats.org/officeDocument/2006/relationships/hyperlink" Target="mailto:whitney.thomas@mcdermott.com,%20DocumentumAdmins@mcdermott.com" TargetMode="External"/><Relationship Id="rId32" Type="http://schemas.openxmlformats.org/officeDocument/2006/relationships/hyperlink" Target="mailto:VRanjan@mcdermott.com" TargetMode="External"/><Relationship Id="rId53" Type="http://schemas.openxmlformats.org/officeDocument/2006/relationships/hyperlink" Target="mailto:vranjan@mcdermott.com%20,%20manisha.rawat@mcdermott.com" TargetMode="External"/><Relationship Id="rId74" Type="http://schemas.openxmlformats.org/officeDocument/2006/relationships/hyperlink" Target="mailto:vranjan@mcdermott.com" TargetMode="External"/><Relationship Id="rId128" Type="http://schemas.openxmlformats.org/officeDocument/2006/relationships/hyperlink" Target="mailto:Carson.Daspit@cbi.com" TargetMode="External"/><Relationship Id="rId149" Type="http://schemas.openxmlformats.org/officeDocument/2006/relationships/hyperlink" Target="Nagnath.Mungade@mcdermott.com:%20Nagnath.Mungade@mcdermott.com" TargetMode="External"/><Relationship Id="rId5" Type="http://schemas.openxmlformats.org/officeDocument/2006/relationships/hyperlink" Target="mailto:Abhisek.Munshi@mcdermott.com%20,%20Smrutilipsa.Nayak@mcdermott.com" TargetMode="External"/><Relationship Id="rId95" Type="http://schemas.openxmlformats.org/officeDocument/2006/relationships/hyperlink" Target="mailto:Ajmal.Usman@mcdermott.com,%20manisha.rawat@mcdermott.com" TargetMode="External"/><Relationship Id="rId160" Type="http://schemas.openxmlformats.org/officeDocument/2006/relationships/hyperlink" Target="mailto:wKprasad@mcdermott.com" TargetMode="External"/><Relationship Id="rId181" Type="http://schemas.openxmlformats.org/officeDocument/2006/relationships/hyperlink" Target="mailto:Atul.Singhai@mcdermott.com;%20x.mike.koshel@mcdermott.com;%20VMishra@mcdermott.com;%20VSlavov@mcdermott.com;%20CToet@mcdermott.com;%20Jeremy.Wier@mcdermott.com" TargetMode="External"/><Relationship Id="rId22" Type="http://schemas.openxmlformats.org/officeDocument/2006/relationships/hyperlink" Target="mailto:scott.harmon@cbi.com,%20venkat.seshuk@mcdermott.com" TargetMode="External"/><Relationship Id="rId43" Type="http://schemas.openxmlformats.org/officeDocument/2006/relationships/hyperlink" Target="mailto:manisha.rawat@mcdermott.com" TargetMode="External"/><Relationship Id="rId64" Type="http://schemas.openxmlformats.org/officeDocument/2006/relationships/hyperlink" Target="mailto:AKManunggal@mcdermott.com,%20AAmar@mcdermott.com" TargetMode="External"/><Relationship Id="rId118" Type="http://schemas.openxmlformats.org/officeDocument/2006/relationships/hyperlink" Target="mailto:kranade@mcdermott.com;%20nbalaji2@mcdermott.com;%20Suraj.Jagtap@mcdermott.com;%20HMajmudar@mcdermott.com;%20smaske@mcdermott.com%20Pratik.Sawant@mcdermott.com;%20Rathi.T@mcdermott.com%20wKprasad@mcdermott.com" TargetMode="External"/><Relationship Id="rId139" Type="http://schemas.openxmlformats.org/officeDocument/2006/relationships/hyperlink" Target="mailto:scott.harmon@mcdermott.com" TargetMode="External"/><Relationship Id="rId85" Type="http://schemas.openxmlformats.org/officeDocument/2006/relationships/hyperlink" Target="mailto:AAmar@mcdermott.com,%20FRedrikana@mcdermott.com%20,%20DMSyauqi@mcdermott.com" TargetMode="External"/><Relationship Id="rId150" Type="http://schemas.openxmlformats.org/officeDocument/2006/relationships/hyperlink" Target="mailto:Yogesh.Lipane@mcdermott.com%20,%20wKprasad@mcdermott.com" TargetMode="External"/><Relationship Id="rId171" Type="http://schemas.openxmlformats.org/officeDocument/2006/relationships/hyperlink" Target="mailto:llacurom@mcdermott.com%20AAli@mcdermott.com,%20ZMohammad@mcdermott.com" TargetMode="External"/><Relationship Id="rId12" Type="http://schemas.openxmlformats.org/officeDocument/2006/relationships/hyperlink" Target="mailto:whitney.thomas@mcdermott.com,%20DocumentumAdmins@mcdermott.com" TargetMode="External"/><Relationship Id="rId33" Type="http://schemas.openxmlformats.org/officeDocument/2006/relationships/hyperlink" Target="mailto:vmishra@mcdermott.com%20,%20VRanjan@mcdermott.com" TargetMode="External"/><Relationship Id="rId108" Type="http://schemas.openxmlformats.org/officeDocument/2006/relationships/hyperlink" Target="mailto:kranade@mcdermott.com;%20Narahari.Bangaru@mcdermott.com;%20Thomas.G.Hulard@mcdermott.com;%20Manish.Kumawat@mcdermott.com;%20Nasir.Majeed@mcdermott.com;%20smaske@mcdermott.com;%20wKprasad@mcdermott.com;%20Mina.alimadad@mcdermott.com" TargetMode="External"/><Relationship Id="rId129" Type="http://schemas.openxmlformats.org/officeDocument/2006/relationships/hyperlink" Target="mailto:DMSyauqi@mcdermott.com" TargetMode="External"/><Relationship Id="rId54" Type="http://schemas.openxmlformats.org/officeDocument/2006/relationships/hyperlink" Target="mailto:vranjan@mcdermott.com%20,%20manisha.rawat@mcdermott.com" TargetMode="External"/><Relationship Id="rId75" Type="http://schemas.openxmlformats.org/officeDocument/2006/relationships/hyperlink" Target="mailto:Sushil.Prajapati@mcdermott.com" TargetMode="External"/><Relationship Id="rId96" Type="http://schemas.openxmlformats.org/officeDocument/2006/relationships/hyperlink" Target="mailto:Abhisek.Munshi@mcdermott.com,bparkis@mcdermott.com,AAmar@mcdermott.com" TargetMode="External"/><Relationship Id="rId140" Type="http://schemas.openxmlformats.org/officeDocument/2006/relationships/hyperlink" Target="mailto:Thomas.G.Hulard@mcdermott.com" TargetMode="External"/><Relationship Id="rId161" Type="http://schemas.openxmlformats.org/officeDocument/2006/relationships/hyperlink" Target="mailto:kranade@mcdermott.com,%20HMajmudar@mcdermott.com" TargetMode="External"/><Relationship Id="rId182" Type="http://schemas.openxmlformats.org/officeDocument/2006/relationships/hyperlink" Target="mailto:cgeorge@mcdermott.com;%20nkumar6@mcdermott.com" TargetMode="External"/><Relationship Id="rId6" Type="http://schemas.openxmlformats.org/officeDocument/2006/relationships/hyperlink" Target="mailto:Abhisek.Munshi@mcdermott.com%20,%20Smrutilipsa.Nayak@mcdermott.com%20,%20Santhosh.V.Kumar@mcdermott.com%20,%20Samarpan.Banerjee@mcdermott.com" TargetMode="External"/><Relationship Id="rId23" Type="http://schemas.openxmlformats.org/officeDocument/2006/relationships/hyperlink" Target="mailto:VRanjan@mcdermott.com,%20vbhatia@cbi.com,%20VMishra@mcdermott.com,%20scott.harmon@cbi.com%20,%20Atul%20Singhai" TargetMode="External"/><Relationship Id="rId119" Type="http://schemas.openxmlformats.org/officeDocument/2006/relationships/hyperlink" Target="mailto:kranade@mcdermott.com;%20smaske@mcdermott.com;%20wKprasad@mcdermott.com" TargetMode="External"/><Relationship Id="rId44" Type="http://schemas.openxmlformats.org/officeDocument/2006/relationships/hyperlink" Target="mailto:Abhisek.Munshi@mcdermott.com%20,%20Smrutilipsa.Nayak@mcdermott.com" TargetMode="External"/><Relationship Id="rId65" Type="http://schemas.openxmlformats.org/officeDocument/2006/relationships/hyperlink" Target="mailto:mverma@mcdermott.com" TargetMode="External"/><Relationship Id="rId86" Type="http://schemas.openxmlformats.org/officeDocument/2006/relationships/hyperlink" Target="mailto:FRedrikana@mcdermott.com%20,%20manisha.rawat@mcdermott.com" TargetMode="External"/><Relationship Id="rId130" Type="http://schemas.openxmlformats.org/officeDocument/2006/relationships/hyperlink" Target="mailto:Christopher.Bahr@mcdermott.com,%20TNguyen@mcdermott.com,%20bparkis@mcdermott.com,%20ZMohammad@mcdermott.com" TargetMode="External"/><Relationship Id="rId151" Type="http://schemas.openxmlformats.org/officeDocument/2006/relationships/hyperlink" Target="mailto:Pankaj.Jadhav2@mcdermott.com," TargetMode="External"/><Relationship Id="rId172" Type="http://schemas.openxmlformats.org/officeDocument/2006/relationships/hyperlink" Target="mailto:llacurom@mcdermott.com%20,AAli@mcdermott.com,%20ZMohammad@mcdermott.com" TargetMode="External"/><Relationship Id="rId13" Type="http://schemas.openxmlformats.org/officeDocument/2006/relationships/hyperlink" Target="mailto:whitney.thomas@mcdermott.com,%20DocumentumAdmins@mcdermott.com" TargetMode="External"/><Relationship Id="rId18" Type="http://schemas.openxmlformats.org/officeDocument/2006/relationships/hyperlink" Target="mailto:whitney.thomas@mcdermott.com,%20DocumentumAdmins@mcdermott.com" TargetMode="External"/><Relationship Id="rId39" Type="http://schemas.openxmlformats.org/officeDocument/2006/relationships/hyperlink" Target="mailto:Santhosh.V.Kumar@mcdermott.com%20,%20Abhisek.Munshi@mcdermott.com" TargetMode="External"/><Relationship Id="rId109" Type="http://schemas.openxmlformats.org/officeDocument/2006/relationships/hyperlink" Target="kranade@mcdermott.com;%20Deepak.Dange@mcdermott.com;%20hgaba@mcdermott.com;%20Pankaj.Jadhav2@mcdermott.com;%20jsangram@mcdermott.com;%20Mansi.Kulkarni@mcdermott.com;%20Yogesh.Lipane@mcdermott.com;%20HMajmudar@mcdermott.com;%20smaske@mcdermott.com;%20kranade@mcdermott.com;%20sranganathan@mcdermott.com;%20Rohit.Soni@mcdermott.com;%20Sachin.Todkar@mcdermott.com;%20wKprasad@mcdermott.com" TargetMode="External"/><Relationship Id="rId34" Type="http://schemas.openxmlformats.org/officeDocument/2006/relationships/hyperlink" Target="kranade@mcdermott.com;%20Deepak.Dange@mcdermott.com;%20hgaba@mcdermott.com;%20Pankaj.Jadhav2@mcdermott.com;%20jsangram@mcdermott.com;%20Mansi.Kulkarni@mcdermott.com;%20Yogesh.Lipane@mcdermott.com;%20HMajmudar@mcdermott.com;%20smaske@mcdermott.com;%20kranade@mcdermott.com;%20sranganathan@mcdermott.com;%20Rohit.Soni@mcdermott.com;%20Sachin.Todkar@mcdermott.com;%20wKprasad@mcdermott.com" TargetMode="External"/><Relationship Id="rId50" Type="http://schemas.openxmlformats.org/officeDocument/2006/relationships/hyperlink" Target="mailto:vranjan@mcdermott.com,%20AAli@mcdermott.com" TargetMode="External"/><Relationship Id="rId55" Type="http://schemas.openxmlformats.org/officeDocument/2006/relationships/hyperlink" Target="mailto:vranjan@mcdermott.com" TargetMode="External"/><Relationship Id="rId76" Type="http://schemas.openxmlformats.org/officeDocument/2006/relationships/hyperlink" Target="mailto:vranjan@mcdermott.com" TargetMode="External"/><Relationship Id="rId97" Type="http://schemas.openxmlformats.org/officeDocument/2006/relationships/hyperlink" Target="mailto:Abhisek.Munshi@mcdermott.com" TargetMode="External"/><Relationship Id="rId104" Type="http://schemas.openxmlformats.org/officeDocument/2006/relationships/hyperlink" Target="mailto:whitney.thomas@cbi.com" TargetMode="External"/><Relationship Id="rId120" Type="http://schemas.openxmlformats.org/officeDocument/2006/relationships/hyperlink" Target="mailto:Mina.alimadad@mcdermott.com,%20richa.banotra@mcdermott.com,%20Thomas.G.Hulard@mcdermott.com" TargetMode="External"/><Relationship Id="rId125" Type="http://schemas.openxmlformats.org/officeDocument/2006/relationships/hyperlink" Target="mailto:kranade@mcdermott.com;%20Deepak.Dange@mcdermott.com;%20Suraj.Jagtap@mcdermott.com;%20Mansi.Kulkarni@mcdermott.com;%20Yogesh.Lipane@mcdermott.com;%20%20HMajmudar@mcdermott.com;%20smaske@mcdermott.com;%20wKprasad@mcdermott.com" TargetMode="External"/><Relationship Id="rId141" Type="http://schemas.openxmlformats.org/officeDocument/2006/relationships/hyperlink" Target="mailto:ATavallali2@mcdermott.com" TargetMode="External"/><Relationship Id="rId146" Type="http://schemas.openxmlformats.org/officeDocument/2006/relationships/hyperlink" Target="mailto:HMajmudar@mcdermott.com" TargetMode="External"/><Relationship Id="rId167" Type="http://schemas.openxmlformats.org/officeDocument/2006/relationships/hyperlink" Target="mailto:nwongwisit@mcdermott.com" TargetMode="External"/><Relationship Id="rId188" Type="http://schemas.openxmlformats.org/officeDocument/2006/relationships/table" Target="../tables/table2.xml"/><Relationship Id="rId7" Type="http://schemas.openxmlformats.org/officeDocument/2006/relationships/hyperlink" Target="mailto:kranade@mcdermott.com" TargetMode="External"/><Relationship Id="rId71" Type="http://schemas.openxmlformats.org/officeDocument/2006/relationships/hyperlink" Target="mailto:whitney.thomas@mcdermott.com,%20DocumentumAdmins@mcdermott.com" TargetMode="External"/><Relationship Id="rId92" Type="http://schemas.openxmlformats.org/officeDocument/2006/relationships/hyperlink" Target="mailto:Chhavi.Dutt@mcdermott.com%20,%20Santhosh.V.Kumar@mcdermott.com%20,%20Sreejith.R@mcdermott.com" TargetMode="External"/><Relationship Id="rId162" Type="http://schemas.openxmlformats.org/officeDocument/2006/relationships/hyperlink" Target="mailto:Yogesh.Lipane@mcdermott.com" TargetMode="External"/><Relationship Id="rId183" Type="http://schemas.openxmlformats.org/officeDocument/2006/relationships/hyperlink" Target="mailto:Alexandru.Gliga@mcdermott.com,%20VKhairnar@mcdermott.com,%20Roberto.Sorrentino@mcdermott.com" TargetMode="External"/><Relationship Id="rId2" Type="http://schemas.openxmlformats.org/officeDocument/2006/relationships/hyperlink" Target="mailto:VSPotkuchi@mcdermott.com%20,%20whitney.thomas@mcdermott.com" TargetMode="External"/><Relationship Id="rId29" Type="http://schemas.openxmlformats.org/officeDocument/2006/relationships/hyperlink" Target="http://dalptfs01:8080/tfs/MiddleEast/_apis/projects/a4513dc6-da70-44c9-bfde-ef5e62ba0de7" TargetMode="External"/><Relationship Id="rId24" Type="http://schemas.openxmlformats.org/officeDocument/2006/relationships/hyperlink" Target="mailto:AAli@mcdermott.com%20,%20Bobbi%20Parkis" TargetMode="External"/><Relationship Id="rId40" Type="http://schemas.openxmlformats.org/officeDocument/2006/relationships/hyperlink" Target="mailto:vmishra@mcdermott.com" TargetMode="External"/><Relationship Id="rId45" Type="http://schemas.openxmlformats.org/officeDocument/2006/relationships/hyperlink" Target="mailto:vranjan@mcdermott.com" TargetMode="External"/><Relationship Id="rId66" Type="http://schemas.openxmlformats.org/officeDocument/2006/relationships/hyperlink" Target="mailto:manisha.rawat@mcdermott.com" TargetMode="External"/><Relationship Id="rId87" Type="http://schemas.openxmlformats.org/officeDocument/2006/relationships/hyperlink" Target="mailto:Christopher.Bahr@mcdermott.com%20,%20Abhisek.Munshi@mcdermott.com" TargetMode="External"/><Relationship Id="rId110" Type="http://schemas.openxmlformats.org/officeDocument/2006/relationships/hyperlink" Target="kranade@mcdermott.com;%20;%20hgaba@mcdermott.com;%20Pankaj.Jadhav2@mcdermott.com;%20jsangram@mcdermott.com;%20Mansi.Kulkarni@mcdermott.com;%20Yogesh.Lipane@mcdermott.com;%20HMajmudar@mcdermott.com;%20smaske@mcdermott.com;%20kranade@mcdermott.com;%20sranganathan@mcdermott.com;%20Rohit.Soni@mcdermott.com;%20Sachin.Todkar@mcdermott.com;%20wKprasad@mcdermott.com" TargetMode="External"/><Relationship Id="rId115" Type="http://schemas.openxmlformats.org/officeDocument/2006/relationships/hyperlink" Target="mailto:vranjan@mcdermott.com%20,%20manisha.rawat@mcdermott.com" TargetMode="External"/><Relationship Id="rId131" Type="http://schemas.openxmlformats.org/officeDocument/2006/relationships/hyperlink" Target="mailto:ZMohammad@mcdermott.com" TargetMode="External"/><Relationship Id="rId136" Type="http://schemas.openxmlformats.org/officeDocument/2006/relationships/hyperlink" Target="mailto:bparkis@mcdermott.com,%20SKYeleswaram@mcdermott.com" TargetMode="External"/><Relationship Id="rId157" Type="http://schemas.openxmlformats.org/officeDocument/2006/relationships/hyperlink" Target="mailto:smaske@mcdermott.com" TargetMode="External"/><Relationship Id="rId178" Type="http://schemas.openxmlformats.org/officeDocument/2006/relationships/hyperlink" Target="mailto:Santhosh.V.Kumar@mcdermott.com" TargetMode="External"/><Relationship Id="rId61" Type="http://schemas.openxmlformats.org/officeDocument/2006/relationships/hyperlink" Target="kranade@mcdermott.com;%20;%20hgaba@mcdermott.com;%20Pankaj.Jadhav2@mcdermott.com;%20jsangram@mcdermott.com;%20Mansi.Kulkarni@mcdermott.com;%20Yogesh.Lipane@mcdermott.com;%20HMajmudar@mcdermott.com;%20smaske@mcdermott.com;%20kranade@mcdermott.com;%20sranganathan@mcdermott.com;%20Rohit.Soni@mcdermott.com;%20Sachin.Todkar@mcdermott.com;%20wKprasad@mcdermott.com" TargetMode="External"/><Relationship Id="rId82" Type="http://schemas.openxmlformats.org/officeDocument/2006/relationships/hyperlink" Target="mailto:kranade@mcdermott.com;%20Yogesh.Lipane@mcdermott.com;%20Nagnath.Mungade@mcdermott.com" TargetMode="External"/><Relationship Id="rId152" Type="http://schemas.openxmlformats.org/officeDocument/2006/relationships/hyperlink" Target="mailto:ctoet@mcdermott.com%20,%20Varsha.Ghadge@mcdermott.com%20,%20vranjan@mcdermott.com%20,%20x.mike.koshel@mcdermott.com" TargetMode="External"/><Relationship Id="rId173" Type="http://schemas.openxmlformats.org/officeDocument/2006/relationships/hyperlink" Target="mailto:KJohnson02@mcdermott.com,%20AAli@mcdermott.com" TargetMode="External"/><Relationship Id="rId19" Type="http://schemas.openxmlformats.org/officeDocument/2006/relationships/hyperlink" Target="mailto:Abhisek.Munshi@mcdermott.com,%20Smrutilipsa.Nayak@mcdermott.com" TargetMode="External"/><Relationship Id="rId14" Type="http://schemas.openxmlformats.org/officeDocument/2006/relationships/hyperlink" Target="mailto:Santhosh.V.Kumar@mcdermott.com" TargetMode="External"/><Relationship Id="rId30" Type="http://schemas.openxmlformats.org/officeDocument/2006/relationships/hyperlink" Target="mailto:whitney.thomas@mcdermott.com,%20DocumentumAdmins@mcdermott.com" TargetMode="External"/><Relationship Id="rId35" Type="http://schemas.openxmlformats.org/officeDocument/2006/relationships/hyperlink" Target="mailto:whitney.thomas@mcdermott.com,%20DocumentumAdmins@mcdermott.com" TargetMode="External"/><Relationship Id="rId56" Type="http://schemas.openxmlformats.org/officeDocument/2006/relationships/hyperlink" Target="mailto:Abhisek.Munshi@mcdermott.com,%20Santhosh.V.Kumar@mcdermott.com" TargetMode="External"/><Relationship Id="rId77" Type="http://schemas.openxmlformats.org/officeDocument/2006/relationships/hyperlink" Target="mailto:manisha.rawat@mcdermott.com" TargetMode="External"/><Relationship Id="rId100" Type="http://schemas.openxmlformats.org/officeDocument/2006/relationships/hyperlink" Target="mailto:Abhisek.Munshi@mcdermott.com,%20Santhosh.V.Kumar@mcdermott.com" TargetMode="External"/><Relationship Id="rId105" Type="http://schemas.openxmlformats.org/officeDocument/2006/relationships/hyperlink" Target="mailto:Abhisek.Munshi@mcdermott.com%20,%20Samarpan.Banerjee@mcdermott.com" TargetMode="External"/><Relationship Id="rId126" Type="http://schemas.openxmlformats.org/officeDocument/2006/relationships/hyperlink" Target="mailto:bparkis@mcdermott.com%20richa.banotra@mcdermott.com,%20Thomas.G.Hulard@mcdermott.com" TargetMode="External"/><Relationship Id="rId147" Type="http://schemas.openxmlformats.org/officeDocument/2006/relationships/hyperlink" Target="Pratik.Sawant@mcdermott.com:%20kranade@mcdermott.com;%20smaske@mcdermott.com" TargetMode="External"/><Relationship Id="rId168" Type="http://schemas.openxmlformats.org/officeDocument/2006/relationships/hyperlink" Target="mailto:llacurom@mcdermott.com,%20anaseer@mcdermott.com" TargetMode="External"/><Relationship Id="rId8" Type="http://schemas.openxmlformats.org/officeDocument/2006/relationships/hyperlink" Target="mailto:bparkis@mcdermott.com%20,richa.banotra@mcdermott.com,%20Thomas.G.Hulard@mcdermott.com" TargetMode="External"/><Relationship Id="rId51" Type="http://schemas.openxmlformats.org/officeDocument/2006/relationships/hyperlink" Target="mailto:kranade@mcdermott.com" TargetMode="External"/><Relationship Id="rId72" Type="http://schemas.openxmlformats.org/officeDocument/2006/relationships/hyperlink" Target="mailto:whitney.thomas@mcdermott.com,%20DocumentumAdmins@mcdermott.com" TargetMode="External"/><Relationship Id="rId93" Type="http://schemas.openxmlformats.org/officeDocument/2006/relationships/hyperlink" Target="mailto:scott.harmon@mcdermott.com" TargetMode="External"/><Relationship Id="rId98" Type="http://schemas.openxmlformats.org/officeDocument/2006/relationships/hyperlink" Target="mailto:vranjan@mcdermott.com%20,%20nkumar6@mcdermott.com" TargetMode="External"/><Relationship Id="rId121" Type="http://schemas.openxmlformats.org/officeDocument/2006/relationships/hyperlink" Target="mailto:Abhisek.Munshi@mcdermott.com%20,%20Smrutilipsa.Nayak@mcdermott.com%20,%20Santhosh.V.Kumar@mcdermott.com%20,%20Samarpan.Banerjee@mcdermott.com,%20Aulia.Molanda@mcdermott.com" TargetMode="External"/><Relationship Id="rId142" Type="http://schemas.openxmlformats.org/officeDocument/2006/relationships/hyperlink" Target="mailto:Vasil.Shteriyanov@mcdermott.com%20,%20Daniel.Yanezdiaz@mcdermott.com" TargetMode="External"/><Relationship Id="rId163" Type="http://schemas.openxmlformats.org/officeDocument/2006/relationships/hyperlink" Target="mailto:whitney.thomas@mcdermott.com" TargetMode="External"/><Relationship Id="rId184" Type="http://schemas.openxmlformats.org/officeDocument/2006/relationships/hyperlink" Target="mailto:Alexandru.Gliga@mcdermott.com,%20Rahul.Janardhanan2@mcdermott.com" TargetMode="External"/><Relationship Id="rId3" Type="http://schemas.openxmlformats.org/officeDocument/2006/relationships/hyperlink" Target="mailto:manisha.rawat@mcdermott.com" TargetMode="External"/><Relationship Id="rId25" Type="http://schemas.openxmlformats.org/officeDocument/2006/relationships/hyperlink" Target="mailto:kranade@mcdermott.com;%20Mansi.Kulkarni@mcdermott.com;%20Yogesh.Lipane@mcdermott.com;%20%20Nagnath.Mungade@mcdermott.com" TargetMode="External"/><Relationship Id="rId46" Type="http://schemas.openxmlformats.org/officeDocument/2006/relationships/hyperlink" Target="mailto:Mithlesh.Kumar@mcdermott.com" TargetMode="External"/><Relationship Id="rId67" Type="http://schemas.openxmlformats.org/officeDocument/2006/relationships/hyperlink" Target="mailto:vmishra@mcdermott.com%20,%20VRanjan@mcdermott.com" TargetMode="External"/><Relationship Id="rId116" Type="http://schemas.openxmlformats.org/officeDocument/2006/relationships/hyperlink" Target="mailto:manisha.rawat@mcdermott.com" TargetMode="External"/><Relationship Id="rId137" Type="http://schemas.openxmlformats.org/officeDocument/2006/relationships/hyperlink" Target="mailto:CGeorge@mcdermott.com%20rjacob2@mcdermott.com" TargetMode="External"/><Relationship Id="rId158" Type="http://schemas.openxmlformats.org/officeDocument/2006/relationships/hyperlink" Target="mailto:smaske@mcdermott.com" TargetMode="External"/><Relationship Id="rId20" Type="http://schemas.openxmlformats.org/officeDocument/2006/relationships/hyperlink" Target="mailto:Sharon.George@mcdermott.com%20,%20Anu.Justin@mcdermott.com%20,%20Manohar.Kokare@mcdermott.com" TargetMode="External"/><Relationship Id="rId41" Type="http://schemas.openxmlformats.org/officeDocument/2006/relationships/hyperlink" Target="kranade@mcdermott.com%20Pankaj.Jadhav2@mcdermott.com;%20Suraj.Jagtap@mcdermott.com;%20Vishal.Kudale@mcdermott.com;%20Yogesh.Lipane@mcdermott.com;%20HMajmudar@mcdermott.com;smaske@mcdermott.com;%20Pratik.Sawant@mcdermott.com;%20Manohar.Vare@mcdermott.com;%20wKprasad@mcdermott.com" TargetMode="External"/><Relationship Id="rId62" Type="http://schemas.openxmlformats.org/officeDocument/2006/relationships/hyperlink" Target="mailto:whitney.thomas@mcdermott.com,%20DocumentumAdmins@mcdermott.com" TargetMode="External"/><Relationship Id="rId83" Type="http://schemas.openxmlformats.org/officeDocument/2006/relationships/hyperlink" Target="mailto:Santhosh.V.Kumar@mcdermott.com%20,%20Abhisek.Munshi@mcdermott.com,%20manisha.rawat@mcdermott.com" TargetMode="External"/><Relationship Id="rId88" Type="http://schemas.openxmlformats.org/officeDocument/2006/relationships/hyperlink" Target="mailto:scott.harmon@mcdermott.com" TargetMode="External"/><Relationship Id="rId111" Type="http://schemas.openxmlformats.org/officeDocument/2006/relationships/hyperlink" Target="mailto:ctoet@mcdermott.com%20,%20Varsha.Ghadge@mcdermott.com%20,%20vranjan@mcdermott.com%20,%20x.mike.koshel@mcdermott.com" TargetMode="External"/><Relationship Id="rId132" Type="http://schemas.openxmlformats.org/officeDocument/2006/relationships/hyperlink" Target="mailto:SKYeleswaram@mcdermott.com,%20TNguyen@mcdermott.com," TargetMode="External"/><Relationship Id="rId153" Type="http://schemas.openxmlformats.org/officeDocument/2006/relationships/hyperlink" Target="mailto:Yogesh.Lipane@mcdermott.com" TargetMode="External"/><Relationship Id="rId174" Type="http://schemas.openxmlformats.org/officeDocument/2006/relationships/hyperlink" Target="mailto:NUNadhiroh@mcdermott.com,%20llacurom@mcdermott.com,anaseer@mcdermott.com" TargetMode="External"/><Relationship Id="rId179" Type="http://schemas.openxmlformats.org/officeDocument/2006/relationships/hyperlink" Target="mailto:manisha.rawat@mcdermott.com" TargetMode="External"/><Relationship Id="rId15" Type="http://schemas.openxmlformats.org/officeDocument/2006/relationships/hyperlink" Target="mailto:Akshay.Singh@mcdermott.com,%20manisha.rawat@mcdermott.com" TargetMode="External"/><Relationship Id="rId36" Type="http://schemas.openxmlformats.org/officeDocument/2006/relationships/hyperlink" Target="mailto:kranade@mcdermott.com%20smaske@mcdermott.com" TargetMode="External"/><Relationship Id="rId57" Type="http://schemas.openxmlformats.org/officeDocument/2006/relationships/hyperlink" Target="mailto:whitney.thomas@mcdermott.com,%20DocumentumAdmins@mcdermott.com" TargetMode="External"/><Relationship Id="rId106" Type="http://schemas.openxmlformats.org/officeDocument/2006/relationships/hyperlink" Target="mailto:scott.harmon@cbi.com%20,%20Santhosh.V.Kumar@mcdermott.com" TargetMode="External"/><Relationship Id="rId127" Type="http://schemas.openxmlformats.org/officeDocument/2006/relationships/hyperlink" Target="mailto:Rakesh.Dhummi@mcdermott.com" TargetMode="External"/><Relationship Id="rId10" Type="http://schemas.openxmlformats.org/officeDocument/2006/relationships/hyperlink" Target="mailto:ZMohammad@mcdermott.com,%20manisha.rawat@mcdermott.com" TargetMode="External"/><Relationship Id="rId31" Type="http://schemas.openxmlformats.org/officeDocument/2006/relationships/hyperlink" Target="mailto:bparkis@mcdermott.com%20,richa.banotra@mcdermott.com,%20Thomas.G.Hulard@mcdermott.com" TargetMode="External"/><Relationship Id="rId52" Type="http://schemas.openxmlformats.org/officeDocument/2006/relationships/hyperlink" Target="mailto:whitney.thomas@mcdermott.com,%20DocumentumAdmins@mcdermott.com" TargetMode="External"/><Relationship Id="rId73" Type="http://schemas.openxmlformats.org/officeDocument/2006/relationships/hyperlink" Target="mailto:vranjan@mcdermott.com,%20AAli@mcdermott.com,%20Santhosh.V.Kumar@mcdermott.com" TargetMode="External"/><Relationship Id="rId78" Type="http://schemas.openxmlformats.org/officeDocument/2006/relationships/hyperlink" Target="mailto:Aouthu.Sunanda2@mcdermott.com%20,%20MZiyad@mcdermott.com%20,%20rjacob2@mcdermott.com%20Trina.Hua@mcdermott.com" TargetMode="External"/><Relationship Id="rId94" Type="http://schemas.openxmlformats.org/officeDocument/2006/relationships/hyperlink" Target="mailto:vranjan@mcdermott.com" TargetMode="External"/><Relationship Id="rId99" Type="http://schemas.openxmlformats.org/officeDocument/2006/relationships/hyperlink" Target="mailto:Aouthu.Sunanda2@mcdermott.com%20,%20MZiyad@mcdermott.com%20,%20rjacob2@mcdermott.com" TargetMode="External"/><Relationship Id="rId101" Type="http://schemas.openxmlformats.org/officeDocument/2006/relationships/hyperlink" Target="mailto:bparkis@mcdermott.com" TargetMode="External"/><Relationship Id="rId122" Type="http://schemas.openxmlformats.org/officeDocument/2006/relationships/hyperlink" Target="mailto:kranade@mcdermott.com;%20Deepak.Dange@mcdermott.com;%20Yogesh.Lipane@mcdermott.com;%20HMajmudar@mcdermott.com;%20smaske@mcdermott.com;%20varun.varun@mcdermott.com;%20jsangram@mcdermott.com" TargetMode="External"/><Relationship Id="rId143" Type="http://schemas.openxmlformats.org/officeDocument/2006/relationships/hyperlink" Target="mailto:Nikhil.Singhi@mcdermott.com" TargetMode="External"/><Relationship Id="rId148" Type="http://schemas.openxmlformats.org/officeDocument/2006/relationships/hyperlink" Target="mailto:kranade@mcdermott.com;%20smaske@mcdermott.com" TargetMode="External"/><Relationship Id="rId164" Type="http://schemas.openxmlformats.org/officeDocument/2006/relationships/hyperlink" Target="mailto:VMishra@mcdermott.com" TargetMode="External"/><Relationship Id="rId169" Type="http://schemas.openxmlformats.org/officeDocument/2006/relationships/hyperlink" Target="mailto:AAli@mcdermott.com" TargetMode="External"/><Relationship Id="rId185" Type="http://schemas.openxmlformats.org/officeDocument/2006/relationships/hyperlink" Target="mailto:NUNadhiroh@mcdermott.com" TargetMode="External"/><Relationship Id="rId4" Type="http://schemas.openxmlformats.org/officeDocument/2006/relationships/hyperlink" Target="mailto:Thomas.G.Hulard@mcdermott.com" TargetMode="External"/><Relationship Id="rId9" Type="http://schemas.openxmlformats.org/officeDocument/2006/relationships/hyperlink" Target="mailto:kranade@mcdermott.com;%20Deepak.Dange@mcdermott.com;%20Yogesh.Lipane@mcdermott.com;%20HMajmudar@mcdermott.com;%20smaske@mcdermott.com;%20varun.varun@mcdermott.com;%20jsangram@mcdermott.com" TargetMode="External"/><Relationship Id="rId180" Type="http://schemas.openxmlformats.org/officeDocument/2006/relationships/hyperlink" Target="mailto:Atul.Singhai@mcdermott.com;%20x.mike.koshel@mcdermott.com;%20VMishra@mcdermott.com;%20VSlavov@mcdermott.com;%20CToet@mcdermott.com;%20Jeremy.Wier@mcdermott.com" TargetMode="External"/><Relationship Id="rId26" Type="http://schemas.openxmlformats.org/officeDocument/2006/relationships/hyperlink" Target="mailto:VRanjan@mcdermott.com" TargetMode="External"/><Relationship Id="rId47" Type="http://schemas.openxmlformats.org/officeDocument/2006/relationships/hyperlink" Target="mailto:sa.sxb3@mcdermott.com%20,%20Santhosh.V.Kumar@mcdermott.com" TargetMode="External"/><Relationship Id="rId68" Type="http://schemas.openxmlformats.org/officeDocument/2006/relationships/hyperlink" Target="mailto:Christopher.Bahr@mcdermott.com,%20bparkis@mcdermott.com" TargetMode="External"/><Relationship Id="rId89" Type="http://schemas.openxmlformats.org/officeDocument/2006/relationships/hyperlink" Target="mailto:vranjan@mcdermott.com,%20FRedrikana@mcdermott.com%20,%20DMSyauqi@mcdermott.com" TargetMode="External"/><Relationship Id="rId112" Type="http://schemas.openxmlformats.org/officeDocument/2006/relationships/hyperlink" Target="mailto:kranade@mcdermott.com;%20wKprasad@mcdermott.com" TargetMode="External"/><Relationship Id="rId133" Type="http://schemas.openxmlformats.org/officeDocument/2006/relationships/hyperlink" Target="mailto:rjacob2@mcdermott.com" TargetMode="External"/><Relationship Id="rId154" Type="http://schemas.openxmlformats.org/officeDocument/2006/relationships/hyperlink" Target="mailto:wKprasad@mcdermott.com" TargetMode="External"/><Relationship Id="rId175" Type="http://schemas.openxmlformats.org/officeDocument/2006/relationships/hyperlink" Target="mailto:JRLaurito@mcdermott.com" TargetMode="External"/><Relationship Id="rId16" Type="http://schemas.openxmlformats.org/officeDocument/2006/relationships/hyperlink" Target="mailto:whitney.thomas@mcdermott.com,%20DocumentumAdmins@mcdermott.com" TargetMode="External"/><Relationship Id="rId37" Type="http://schemas.openxmlformats.org/officeDocument/2006/relationships/hyperlink" Target="mailto:manisha.rawat@mcdermott.com" TargetMode="External"/><Relationship Id="rId58" Type="http://schemas.openxmlformats.org/officeDocument/2006/relationships/hyperlink" Target="mailto:manisha.rawat@mcdermott.com" TargetMode="External"/><Relationship Id="rId79" Type="http://schemas.openxmlformats.org/officeDocument/2006/relationships/hyperlink" Target="mailto:ZMohammad@mcdermott.com%20,%20bparkis@mcdermott.com" TargetMode="External"/><Relationship Id="rId102" Type="http://schemas.openxmlformats.org/officeDocument/2006/relationships/hyperlink" Target="mailto:bparkis@mcdermott.com%20richa.banotra@mcdermott.com,%20Thomas.G.Hulard@mcdermott.com" TargetMode="External"/><Relationship Id="rId123" Type="http://schemas.openxmlformats.org/officeDocument/2006/relationships/hyperlink" Target="mailto:kranade@mcdermott.com" TargetMode="External"/><Relationship Id="rId144" Type="http://schemas.openxmlformats.org/officeDocument/2006/relationships/hyperlink" Target="mailto:Manohar.Vare@mcdermott.com" TargetMode="External"/><Relationship Id="rId90" Type="http://schemas.openxmlformats.org/officeDocument/2006/relationships/hyperlink" Target="mailto:vranjan@mcdermott.com,%20whitney.thomas@mcdermott.com%20,%20Santhosh.V.Kumar@mcdermott.com" TargetMode="External"/><Relationship Id="rId165" Type="http://schemas.openxmlformats.org/officeDocument/2006/relationships/hyperlink" Target="mailto:aali@mcdermott.com" TargetMode="External"/><Relationship Id="rId186" Type="http://schemas.openxmlformats.org/officeDocument/2006/relationships/hyperlink" Target="mailto:NUNadhiroh@mcdermott.com/Dodi/FArid%20Redrikana" TargetMode="External"/><Relationship Id="rId27" Type="http://schemas.openxmlformats.org/officeDocument/2006/relationships/hyperlink" Target="mailto:jeremy.wier@mcdermott.com" TargetMode="External"/><Relationship Id="rId48" Type="http://schemas.openxmlformats.org/officeDocument/2006/relationships/hyperlink" Target="mailto:manisha.rawat@mcdermott.com" TargetMode="External"/><Relationship Id="rId69" Type="http://schemas.openxmlformats.org/officeDocument/2006/relationships/hyperlink" Target="mailto:rmanjares@mcdermott.com,%20Abhisek.Munshi@mcdermott.com," TargetMode="External"/><Relationship Id="rId113" Type="http://schemas.openxmlformats.org/officeDocument/2006/relationships/hyperlink" Target="kranade@mcdermott.com;%20Suraj.Jagtap@mcdermott.com;%20Vishal.Kudale@mcdermott.com;%20Pankaj.Jadhav2@mcdermott.com;%20HMajmudar@mcdermott.com;%20smaske@mcdermott.com;%20Rohit.Soni@mcdermott.com;%20Pratik.Sawant@mcdermott.com;%20Rathi.T@mcdermott.com;%20wKprasad@mcdermott.com" TargetMode="External"/><Relationship Id="rId134" Type="http://schemas.openxmlformats.org/officeDocument/2006/relationships/hyperlink" Target="mailto:bparkis@mcdermott.com,%20SKYeleswaram@mcdermott.com" TargetMode="External"/><Relationship Id="rId80" Type="http://schemas.openxmlformats.org/officeDocument/2006/relationships/hyperlink" Target="mailto:whitney.thomas@mcdermott.com" TargetMode="External"/><Relationship Id="rId155" Type="http://schemas.openxmlformats.org/officeDocument/2006/relationships/hyperlink" Target="mailto:wKprasad@mcdermott.com" TargetMode="External"/><Relationship Id="rId176" Type="http://schemas.openxmlformats.org/officeDocument/2006/relationships/hyperlink" Target="mailto:kranade@mcdermott.com" TargetMode="External"/><Relationship Id="rId17" Type="http://schemas.openxmlformats.org/officeDocument/2006/relationships/hyperlink" Target="mailto:whitney.thomas@mcdermott.com,%20DocumentumAdmins@mcdermott.com" TargetMode="External"/><Relationship Id="rId38" Type="http://schemas.openxmlformats.org/officeDocument/2006/relationships/hyperlink" Target="mailto:manisha.rawat@mcdermott.com" TargetMode="External"/><Relationship Id="rId59" Type="http://schemas.openxmlformats.org/officeDocument/2006/relationships/hyperlink" Target="mailto:manisha.rawat@mcdermott.com" TargetMode="External"/><Relationship Id="rId103" Type="http://schemas.openxmlformats.org/officeDocument/2006/relationships/hyperlink" Target="mailto:bparkis@mcdermott.com%20richa.banotra@mcdermott.com,%20Thomas.G.Hulard@mcdermott.com" TargetMode="External"/><Relationship Id="rId124" Type="http://schemas.openxmlformats.org/officeDocument/2006/relationships/hyperlink" Target="mailto:kranade@mcdermott.com" TargetMode="External"/><Relationship Id="rId70" Type="http://schemas.openxmlformats.org/officeDocument/2006/relationships/hyperlink" Target="mailto:Smrutilipsa.Nayak@mcdermott.com%20Smrutilipsa.Nayak@mcdermott.com" TargetMode="External"/><Relationship Id="rId91" Type="http://schemas.openxmlformats.org/officeDocument/2006/relationships/hyperlink" Target="mailto:Binod.Gupta@mcdermott.com,%20FRedrikana@mcdermott.com%20,%20vranjan@mcdermott.com" TargetMode="External"/><Relationship Id="rId145" Type="http://schemas.openxmlformats.org/officeDocument/2006/relationships/hyperlink" Target="mailto:kranade@mcdermott.com;%20smaske@mcdermott.com" TargetMode="External"/><Relationship Id="rId166" Type="http://schemas.openxmlformats.org/officeDocument/2006/relationships/hyperlink" Target="mailto:Saravana.Kumar@mcdermott.com" TargetMode="External"/><Relationship Id="rId187" Type="http://schemas.openxmlformats.org/officeDocument/2006/relationships/hyperlink" Target="mailto:SKYeleswaram@mcdermott.com" TargetMode="External"/><Relationship Id="rId1" Type="http://schemas.openxmlformats.org/officeDocument/2006/relationships/hyperlink" Target="http://dalptfs01:8080/tfs/_apis/projectCollections/24c847e5-893a-4dc4-90d3-3641474fea61" TargetMode="External"/><Relationship Id="rId28" Type="http://schemas.openxmlformats.org/officeDocument/2006/relationships/hyperlink" Target="mailto:vranjan@mcdermott.com,%20AAli@mcdermott.com" TargetMode="External"/><Relationship Id="rId49" Type="http://schemas.openxmlformats.org/officeDocument/2006/relationships/hyperlink" Target="mailto:sa.sxb3@mcdermott.com%20,%20Santhosh.V.Kumar@mcdermott.com" TargetMode="External"/><Relationship Id="rId114" Type="http://schemas.openxmlformats.org/officeDocument/2006/relationships/hyperlink" Target="mailto:kranade@mcdermott.com%20Rohit.Soni@mcdermott.com" TargetMode="External"/><Relationship Id="rId60" Type="http://schemas.openxmlformats.org/officeDocument/2006/relationships/hyperlink" Target="mailto:manisha.rawat@mcdermott.com" TargetMode="External"/><Relationship Id="rId81" Type="http://schemas.openxmlformats.org/officeDocument/2006/relationships/hyperlink" Target="mailto:bradley.ingle@mcdermott.com,%20paul.catanzaro@cbi.com" TargetMode="External"/><Relationship Id="rId135" Type="http://schemas.openxmlformats.org/officeDocument/2006/relationships/hyperlink" Target="mailto:rjacob2@mcdermott.com%20,%20ZMohammad@mcdermott.com%20,%20ASantoso@mcdermott.com%20,%20Chhavi.Dutt@mcdermott.com" TargetMode="External"/><Relationship Id="rId156" Type="http://schemas.openxmlformats.org/officeDocument/2006/relationships/hyperlink" Target="mailto:kranade@mcdermott.com;%20Pankaj.Jadhav2@mcdermott.com;%20wKprasad@mcdermott.com" TargetMode="External"/><Relationship Id="rId177" Type="http://schemas.openxmlformats.org/officeDocument/2006/relationships/hyperlink" Target="mailto:manisha.rawat@mcdermott.com,Abhisek.Munshi@mcdermott.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Smrutilipsa.Nayak@mcdermott.com" TargetMode="External"/><Relationship Id="rId18" Type="http://schemas.openxmlformats.org/officeDocument/2006/relationships/hyperlink" Target="mailto:whitney.thomas@mcdermott.com,%20DocumentumAdmins@mcdermott.com" TargetMode="External"/><Relationship Id="rId26" Type="http://schemas.openxmlformats.org/officeDocument/2006/relationships/hyperlink" Target="mailto:scott.harmon@cbi.com,%20venkat.seshuk@mcdermott.com" TargetMode="External"/><Relationship Id="rId21" Type="http://schemas.openxmlformats.org/officeDocument/2006/relationships/hyperlink" Target="mailto:kranade@mcdermott.com,%20HMajmudar@mcdermott.com" TargetMode="External"/><Relationship Id="rId34" Type="http://schemas.openxmlformats.org/officeDocument/2006/relationships/hyperlink" Target="mailto:Mithlesh.Kumar@mcdermott.com" TargetMode="External"/><Relationship Id="rId7" Type="http://schemas.openxmlformats.org/officeDocument/2006/relationships/hyperlink" Target="mailto:Santhosh.V.Kumar@mcdermott.com" TargetMode="External"/><Relationship Id="rId12" Type="http://schemas.openxmlformats.org/officeDocument/2006/relationships/hyperlink" Target="mailto:Akshay.Singh@mcdermott.com,%20manisha.rawat@mcdermott.com" TargetMode="External"/><Relationship Id="rId17" Type="http://schemas.openxmlformats.org/officeDocument/2006/relationships/hyperlink" Target="mailto:Smrutilipsa.Nayak@mcdermott.com%20Smrutilipsa.Nayak@mcdermott.com" TargetMode="External"/><Relationship Id="rId25" Type="http://schemas.openxmlformats.org/officeDocument/2006/relationships/hyperlink" Target="mailto:ZMohammad@mcdermott.com%20,%20bparkis@mcdermott.com" TargetMode="External"/><Relationship Id="rId33" Type="http://schemas.openxmlformats.org/officeDocument/2006/relationships/hyperlink" Target="mailto:Mina.alimadad@mcdermott.com,%20richa.banotra@mcdermott.com,%20Thomas.G.Hulard@mcdermott.com" TargetMode="External"/><Relationship Id="rId2" Type="http://schemas.openxmlformats.org/officeDocument/2006/relationships/hyperlink" Target="mailto:jeremy.wier@mcdermott.com" TargetMode="External"/><Relationship Id="rId16" Type="http://schemas.openxmlformats.org/officeDocument/2006/relationships/hyperlink" Target="mailto:AAmar@mcdermott.com,%20FRedrikana@mcdermott.com%20,%20DMSyauqi@mcdermott.com" TargetMode="External"/><Relationship Id="rId20" Type="http://schemas.openxmlformats.org/officeDocument/2006/relationships/hyperlink" Target="mailto:AKManunggal@mcdermott.com,%20AAmar@mcdermott.com" TargetMode="External"/><Relationship Id="rId29" Type="http://schemas.openxmlformats.org/officeDocument/2006/relationships/hyperlink" Target="mailto:Thomas.G.Hulard@mcdermott.com" TargetMode="External"/><Relationship Id="rId1" Type="http://schemas.openxmlformats.org/officeDocument/2006/relationships/hyperlink" Target="mailto:bradley.ingle@mcdermott.com,%20paul.catanzaro@cbi.com" TargetMode="External"/><Relationship Id="rId6" Type="http://schemas.openxmlformats.org/officeDocument/2006/relationships/hyperlink" Target="mailto:whitney.thomas@cbi.com" TargetMode="External"/><Relationship Id="rId11" Type="http://schemas.openxmlformats.org/officeDocument/2006/relationships/hyperlink" Target="mailto:FRedrikana@mcdermott.com" TargetMode="External"/><Relationship Id="rId24" Type="http://schemas.openxmlformats.org/officeDocument/2006/relationships/hyperlink" Target="mailto:rmanjares@mcdermott.com,%20Abhisek.Munshi@mcdermott.com," TargetMode="External"/><Relationship Id="rId32" Type="http://schemas.openxmlformats.org/officeDocument/2006/relationships/hyperlink" Target="mailto:Aouthu.Sunanda2@mcdermott.com%20,%20MZiyad@mcdermott.com%20,%20rjacob2@mcdermott.com" TargetMode="External"/><Relationship Id="rId37" Type="http://schemas.openxmlformats.org/officeDocument/2006/relationships/hyperlink" Target="mailto:vmishra@mcdermott.com" TargetMode="External"/><Relationship Id="rId5" Type="http://schemas.openxmlformats.org/officeDocument/2006/relationships/hyperlink" Target="mailto:trina.hua@mcdermott.com" TargetMode="External"/><Relationship Id="rId15" Type="http://schemas.openxmlformats.org/officeDocument/2006/relationships/hyperlink" Target="mailto:Atul.Singhai@mcdermott.com" TargetMode="External"/><Relationship Id="rId23" Type="http://schemas.openxmlformats.org/officeDocument/2006/relationships/hyperlink" Target="mailto:Sharon.George@mcdermott.com%20,%20Anu.Justin@mcdermott.com%20,%20Manohar.Kokare@mcdermott.com" TargetMode="External"/><Relationship Id="rId28" Type="http://schemas.openxmlformats.org/officeDocument/2006/relationships/hyperlink" Target="mailto:bparkis@mcdermott.com%20,richa.banotra@mcdermott.com,%20Thomas.G.Hulard@mcdermott.com" TargetMode="External"/><Relationship Id="rId36" Type="http://schemas.openxmlformats.org/officeDocument/2006/relationships/hyperlink" Target="mailto:AAli@mcdermott.com%20,%20Bobbi%20Parkis" TargetMode="External"/><Relationship Id="rId10" Type="http://schemas.openxmlformats.org/officeDocument/2006/relationships/hyperlink" Target="mailto:Ajmal.Usman@mcdermott.com,%20manisha.rawat@mcdermott.com" TargetMode="External"/><Relationship Id="rId19" Type="http://schemas.openxmlformats.org/officeDocument/2006/relationships/hyperlink" Target="mailto:VSPotkuchi@mcdermott.com%20,%20whitney.thomas@mcdermott.com" TargetMode="External"/><Relationship Id="rId31" Type="http://schemas.openxmlformats.org/officeDocument/2006/relationships/hyperlink" Target="mailto:Abhisek.Munshi@mcdermott.com" TargetMode="External"/><Relationship Id="rId4" Type="http://schemas.openxmlformats.org/officeDocument/2006/relationships/hyperlink" Target="mailto:whitney.thomas@mcdermott.com,%20DocumentumAdmins@mcdermott.com" TargetMode="External"/><Relationship Id="rId9" Type="http://schemas.openxmlformats.org/officeDocument/2006/relationships/hyperlink" Target="mailto:scott.harmon@mcdermott.com" TargetMode="External"/><Relationship Id="rId14" Type="http://schemas.openxmlformats.org/officeDocument/2006/relationships/hyperlink" Target="mailto:Christopher.Bahr@mcdermott.com%20,%20Abhisek.Munshi@mcdermott.com" TargetMode="External"/><Relationship Id="rId22" Type="http://schemas.openxmlformats.org/officeDocument/2006/relationships/hyperlink" Target="mailto:Sushil.Prajapati@mcdermott.com" TargetMode="External"/><Relationship Id="rId27" Type="http://schemas.openxmlformats.org/officeDocument/2006/relationships/hyperlink" Target="mailto:vranjan@mcdermott.com%20,%20nkumar6@mcdermott.com" TargetMode="External"/><Relationship Id="rId30" Type="http://schemas.openxmlformats.org/officeDocument/2006/relationships/hyperlink" Target="mailto:ctoet@mcdermott.com%20,%20Varsha.Ghadge@mcdermott.com%20,%20vranjan@mcdermott.com%20,%20x.mike.koshel@mcdermott.com" TargetMode="External"/><Relationship Id="rId35" Type="http://schemas.openxmlformats.org/officeDocument/2006/relationships/hyperlink" Target="mailto:Smrutilipsa.Nayak@mcdermott.com" TargetMode="External"/><Relationship Id="rId8" Type="http://schemas.openxmlformats.org/officeDocument/2006/relationships/hyperlink" Target="mailto:sa.sxb3@mcdermott.com%20,%20Santhosh.V.Kumar@mcdermott.com" TargetMode="External"/><Relationship Id="rId3" Type="http://schemas.openxmlformats.org/officeDocument/2006/relationships/hyperlink" Target="mailto:Binod.Gupta@mcdermott.com,%20FRedrikana@mcdermott.com%20,%20vranjan@mcdermott.com"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mailto:Chhavi.Dutt@mcdermott.com%20,%20Santhosh.V.Kumar@mcdermott.com%20,%20Sreejith.R@mcdermot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362C9-A554-4FD8-95A2-12C801E853B7}">
  <dimension ref="A1:X447"/>
  <sheetViews>
    <sheetView topLeftCell="B1" workbookViewId="0">
      <selection activeCell="B7" sqref="A7:XFD7"/>
    </sheetView>
  </sheetViews>
  <sheetFormatPr defaultRowHeight="15" x14ac:dyDescent="0.25"/>
  <cols>
    <col min="1" max="1" width="35.42578125" hidden="1" customWidth="1"/>
    <col min="2" max="2" width="46.28515625" customWidth="1"/>
    <col min="3" max="3" width="26.85546875" customWidth="1"/>
    <col min="4" max="4" width="12.7109375" customWidth="1"/>
    <col min="5" max="5" width="9.140625" customWidth="1"/>
    <col min="6" max="6" width="8.140625" customWidth="1"/>
    <col min="7" max="7" width="12.7109375" customWidth="1"/>
    <col min="8" max="8" width="14.28515625" customWidth="1"/>
    <col min="9" max="9" width="15.5703125" customWidth="1"/>
    <col min="10" max="10" width="9" customWidth="1"/>
    <col min="11" max="11" width="30.85546875" customWidth="1"/>
    <col min="12" max="12" width="40.85546875" customWidth="1"/>
    <col min="13" max="13" width="150.7109375" customWidth="1"/>
    <col min="14" max="14" width="42.42578125" customWidth="1"/>
    <col min="15" max="15" width="26.140625" hidden="1" customWidth="1"/>
    <col min="16" max="16" width="49.140625" hidden="1" customWidth="1"/>
    <col min="17" max="17" width="37.85546875" hidden="1" customWidth="1"/>
    <col min="18" max="18" width="31" hidden="1" customWidth="1"/>
    <col min="19" max="19" width="53.140625" hidden="1" customWidth="1"/>
    <col min="20" max="20" width="12" hidden="1" customWidth="1"/>
    <col min="21" max="21" width="18.7109375" hidden="1" customWidth="1"/>
    <col min="22" max="22" width="18.7109375" bestFit="1" customWidth="1"/>
    <col min="23" max="23" width="15.7109375" hidden="1" customWidth="1"/>
    <col min="24" max="24" width="23.7109375" customWidth="1"/>
    <col min="25" max="25" width="22.140625" customWidth="1"/>
    <col min="26" max="26" width="16" bestFit="1" customWidth="1"/>
    <col min="27" max="27" width="38.140625" bestFit="1" customWidth="1"/>
    <col min="28" max="28" width="38.42578125" bestFit="1" customWidth="1"/>
    <col min="29" max="29" width="38.140625" bestFit="1" customWidth="1"/>
    <col min="30" max="30" width="15" bestFit="1" customWidth="1"/>
    <col min="31" max="31" width="81.140625" bestFit="1" customWidth="1"/>
    <col min="32" max="32" width="8.28515625" bestFit="1" customWidth="1"/>
    <col min="33" max="33" width="81.140625" bestFit="1" customWidth="1"/>
    <col min="34" max="34" width="11.28515625" bestFit="1" customWidth="1"/>
    <col min="35" max="35" width="10.5703125" bestFit="1" customWidth="1"/>
    <col min="36" max="36" width="11" bestFit="1" customWidth="1"/>
    <col min="37" max="37" width="17.57031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idden="1" x14ac:dyDescent="0.25">
      <c r="A2" t="s">
        <v>24</v>
      </c>
      <c r="B2" s="6" t="s">
        <v>25</v>
      </c>
      <c r="E2" t="s">
        <v>26</v>
      </c>
      <c r="F2" t="s">
        <v>26</v>
      </c>
      <c r="G2" t="s">
        <v>27</v>
      </c>
      <c r="H2" t="s">
        <v>28</v>
      </c>
      <c r="I2" s="3" t="e">
        <v>#VALUE!</v>
      </c>
      <c r="J2" s="3" t="e">
        <f>RIGHT(I2,4)</f>
        <v>#VALUE!</v>
      </c>
      <c r="K2" s="3"/>
      <c r="L2" s="3"/>
      <c r="M2" s="3"/>
      <c r="N2" s="3"/>
      <c r="O2" s="2"/>
      <c r="Q2" t="s">
        <v>29</v>
      </c>
      <c r="R2" t="s">
        <v>30</v>
      </c>
      <c r="V2" t="e">
        <f t="shared" ref="V2:V65" si="0">TEXT(DATEVALUE(LEFT(O2,10)), "mm/dd/yyyy")</f>
        <v>#VALUE!</v>
      </c>
    </row>
    <row r="3" spans="1:24" hidden="1" x14ac:dyDescent="0.25">
      <c r="A3" t="s">
        <v>24</v>
      </c>
      <c r="B3" t="s">
        <v>31</v>
      </c>
      <c r="E3" t="s">
        <v>26</v>
      </c>
      <c r="F3" t="s">
        <v>26</v>
      </c>
      <c r="G3" t="s">
        <v>27</v>
      </c>
      <c r="H3" t="s">
        <v>28</v>
      </c>
      <c r="I3" s="3" t="e">
        <v>#VALUE!</v>
      </c>
      <c r="J3" s="3" t="e">
        <f t="shared" ref="J3:J66" si="1">RIGHT(I3,4)</f>
        <v>#VALUE!</v>
      </c>
      <c r="K3" s="3"/>
      <c r="L3" s="3"/>
      <c r="M3" s="3"/>
      <c r="N3" s="3"/>
      <c r="O3" s="2"/>
      <c r="Q3" t="s">
        <v>32</v>
      </c>
      <c r="R3" t="s">
        <v>33</v>
      </c>
      <c r="V3" t="e">
        <f t="shared" si="0"/>
        <v>#VALUE!</v>
      </c>
    </row>
    <row r="4" spans="1:24" x14ac:dyDescent="0.25">
      <c r="A4" t="s">
        <v>24</v>
      </c>
      <c r="B4" s="7" t="s">
        <v>4</v>
      </c>
      <c r="C4" s="7" t="s">
        <v>34</v>
      </c>
      <c r="D4" s="7" t="s">
        <v>35</v>
      </c>
      <c r="E4" s="7" t="s">
        <v>28</v>
      </c>
      <c r="F4" s="7" t="s">
        <v>28</v>
      </c>
      <c r="G4" s="7"/>
      <c r="H4" s="7"/>
      <c r="I4" s="13" t="s">
        <v>36</v>
      </c>
      <c r="J4" s="13" t="str">
        <f t="shared" si="1"/>
        <v>2019</v>
      </c>
      <c r="K4" s="13" t="s">
        <v>37</v>
      </c>
      <c r="L4" s="13" t="s">
        <v>37</v>
      </c>
      <c r="M4" s="13" t="s">
        <v>37</v>
      </c>
      <c r="N4" s="13"/>
      <c r="O4" s="14" t="s">
        <v>38</v>
      </c>
      <c r="P4" s="7" t="s">
        <v>39</v>
      </c>
      <c r="Q4" s="7" t="s">
        <v>40</v>
      </c>
      <c r="R4" s="7" t="s">
        <v>41</v>
      </c>
      <c r="S4" s="7" t="s">
        <v>42</v>
      </c>
      <c r="T4" s="7" t="s">
        <v>43</v>
      </c>
      <c r="U4" s="7">
        <v>742477</v>
      </c>
      <c r="V4" s="7" t="str">
        <f t="shared" si="0"/>
        <v>09/26/2019</v>
      </c>
      <c r="W4" s="7" t="s">
        <v>44</v>
      </c>
      <c r="X4" s="7" t="s">
        <v>45</v>
      </c>
    </row>
    <row r="5" spans="1:24" hidden="1" x14ac:dyDescent="0.25">
      <c r="A5" t="s">
        <v>24</v>
      </c>
      <c r="B5" t="s">
        <v>4</v>
      </c>
      <c r="C5" t="s">
        <v>46</v>
      </c>
      <c r="D5" t="s">
        <v>35</v>
      </c>
      <c r="E5" t="s">
        <v>26</v>
      </c>
      <c r="F5" t="s">
        <v>26</v>
      </c>
      <c r="G5" t="s">
        <v>27</v>
      </c>
      <c r="H5" t="s">
        <v>28</v>
      </c>
      <c r="I5" s="3" t="s">
        <v>36</v>
      </c>
      <c r="J5" s="3" t="str">
        <f t="shared" si="1"/>
        <v>2019</v>
      </c>
      <c r="K5" s="3"/>
      <c r="L5" s="3"/>
      <c r="M5" s="3"/>
      <c r="N5" s="3"/>
      <c r="O5" s="2" t="s">
        <v>47</v>
      </c>
      <c r="P5" t="s">
        <v>48</v>
      </c>
      <c r="Q5" t="s">
        <v>40</v>
      </c>
      <c r="R5" t="s">
        <v>41</v>
      </c>
      <c r="S5" t="s">
        <v>49</v>
      </c>
      <c r="T5" t="s">
        <v>43</v>
      </c>
      <c r="U5">
        <v>742478</v>
      </c>
      <c r="V5" t="str">
        <f t="shared" si="0"/>
        <v>09/26/2019</v>
      </c>
      <c r="W5" t="s">
        <v>44</v>
      </c>
    </row>
    <row r="6" spans="1:24" x14ac:dyDescent="0.25">
      <c r="A6" t="s">
        <v>24</v>
      </c>
      <c r="B6" s="7" t="s">
        <v>50</v>
      </c>
      <c r="C6" s="7" t="s">
        <v>51</v>
      </c>
      <c r="D6" s="7" t="s">
        <v>35</v>
      </c>
      <c r="E6" s="7" t="s">
        <v>28</v>
      </c>
      <c r="F6" s="7" t="s">
        <v>28</v>
      </c>
      <c r="G6" s="7"/>
      <c r="H6" s="7"/>
      <c r="I6" s="13" t="s">
        <v>52</v>
      </c>
      <c r="J6" s="13" t="str">
        <f t="shared" si="1"/>
        <v>2019</v>
      </c>
      <c r="K6" s="13" t="s">
        <v>53</v>
      </c>
      <c r="L6" s="31" t="s">
        <v>54</v>
      </c>
      <c r="M6" s="13" t="s">
        <v>37</v>
      </c>
      <c r="N6" s="13" t="s">
        <v>55</v>
      </c>
      <c r="O6" s="14" t="s">
        <v>56</v>
      </c>
      <c r="P6" s="7" t="s">
        <v>57</v>
      </c>
      <c r="Q6" s="7" t="s">
        <v>58</v>
      </c>
      <c r="R6" s="7" t="s">
        <v>59</v>
      </c>
      <c r="S6" s="7" t="s">
        <v>60</v>
      </c>
      <c r="T6" s="7" t="s">
        <v>43</v>
      </c>
      <c r="U6" s="7">
        <v>224869</v>
      </c>
      <c r="V6" s="7" t="str">
        <f t="shared" si="0"/>
        <v>10/25/2019</v>
      </c>
      <c r="W6" s="7" t="s">
        <v>44</v>
      </c>
      <c r="X6" s="7" t="s">
        <v>61</v>
      </c>
    </row>
    <row r="7" spans="1:24" x14ac:dyDescent="0.25">
      <c r="A7" t="s">
        <v>24</v>
      </c>
      <c r="B7" s="7" t="s">
        <v>50</v>
      </c>
      <c r="C7" s="7" t="s">
        <v>62</v>
      </c>
      <c r="D7" s="7" t="s">
        <v>35</v>
      </c>
      <c r="E7" s="7" t="s">
        <v>26</v>
      </c>
      <c r="F7" s="7" t="s">
        <v>28</v>
      </c>
      <c r="G7" s="7"/>
      <c r="H7" s="7"/>
      <c r="I7" s="13" t="s">
        <v>52</v>
      </c>
      <c r="J7" s="13" t="str">
        <f t="shared" si="1"/>
        <v>2019</v>
      </c>
      <c r="K7" s="13" t="s">
        <v>63</v>
      </c>
      <c r="L7" s="13" t="s">
        <v>37</v>
      </c>
      <c r="M7" s="13" t="s">
        <v>37</v>
      </c>
      <c r="N7" s="13" t="s">
        <v>64</v>
      </c>
      <c r="O7" s="14" t="s">
        <v>65</v>
      </c>
      <c r="P7" s="7" t="s">
        <v>66</v>
      </c>
      <c r="Q7" s="7" t="s">
        <v>58</v>
      </c>
      <c r="R7" s="7" t="s">
        <v>59</v>
      </c>
      <c r="S7" s="7" t="s">
        <v>67</v>
      </c>
      <c r="T7" s="7" t="s">
        <v>43</v>
      </c>
      <c r="U7" s="7">
        <v>224871</v>
      </c>
      <c r="V7" s="7" t="str">
        <f t="shared" si="0"/>
        <v>10/25/2019</v>
      </c>
      <c r="W7" s="7" t="s">
        <v>44</v>
      </c>
      <c r="X7" s="7" t="s">
        <v>68</v>
      </c>
    </row>
    <row r="8" spans="1:24" x14ac:dyDescent="0.25">
      <c r="A8" t="s">
        <v>24</v>
      </c>
      <c r="B8" t="s">
        <v>50</v>
      </c>
      <c r="C8" t="s">
        <v>69</v>
      </c>
      <c r="D8" t="s">
        <v>35</v>
      </c>
      <c r="E8" t="s">
        <v>28</v>
      </c>
      <c r="F8" t="s">
        <v>28</v>
      </c>
      <c r="I8" s="3" t="s">
        <v>52</v>
      </c>
      <c r="J8" s="3" t="str">
        <f t="shared" si="1"/>
        <v>2019</v>
      </c>
      <c r="K8" s="3" t="s">
        <v>53</v>
      </c>
      <c r="L8" s="15" t="s">
        <v>70</v>
      </c>
      <c r="M8" s="16" t="s">
        <v>71</v>
      </c>
      <c r="N8" s="3" t="s">
        <v>72</v>
      </c>
      <c r="O8" s="2" t="s">
        <v>73</v>
      </c>
      <c r="P8" t="s">
        <v>74</v>
      </c>
      <c r="Q8" t="s">
        <v>58</v>
      </c>
      <c r="R8" t="s">
        <v>59</v>
      </c>
      <c r="S8" t="s">
        <v>75</v>
      </c>
      <c r="T8" t="s">
        <v>43</v>
      </c>
      <c r="U8">
        <v>224872</v>
      </c>
      <c r="V8" t="str">
        <f t="shared" si="0"/>
        <v>10/25/2019</v>
      </c>
      <c r="W8" t="s">
        <v>44</v>
      </c>
      <c r="X8" t="s">
        <v>76</v>
      </c>
    </row>
    <row r="9" spans="1:24" x14ac:dyDescent="0.25">
      <c r="A9" t="s">
        <v>24</v>
      </c>
      <c r="B9" s="7" t="s">
        <v>50</v>
      </c>
      <c r="C9" s="7" t="s">
        <v>77</v>
      </c>
      <c r="D9" s="7" t="s">
        <v>35</v>
      </c>
      <c r="E9" s="7" t="s">
        <v>28</v>
      </c>
      <c r="F9" s="7" t="s">
        <v>28</v>
      </c>
      <c r="G9" s="7"/>
      <c r="H9" s="7"/>
      <c r="I9" s="13" t="s">
        <v>78</v>
      </c>
      <c r="J9" s="13" t="str">
        <f t="shared" si="1"/>
        <v>2021</v>
      </c>
      <c r="K9" s="13" t="s">
        <v>79</v>
      </c>
      <c r="L9" s="31" t="s">
        <v>80</v>
      </c>
      <c r="M9" s="13" t="s">
        <v>37</v>
      </c>
      <c r="N9" s="13" t="s">
        <v>81</v>
      </c>
      <c r="O9" s="14" t="s">
        <v>82</v>
      </c>
      <c r="P9" s="7" t="s">
        <v>83</v>
      </c>
      <c r="Q9" s="7" t="s">
        <v>58</v>
      </c>
      <c r="R9" s="7" t="s">
        <v>59</v>
      </c>
      <c r="S9" s="7" t="s">
        <v>84</v>
      </c>
      <c r="T9" s="7" t="s">
        <v>43</v>
      </c>
      <c r="U9" s="7">
        <v>224875</v>
      </c>
      <c r="V9" s="7" t="str">
        <f t="shared" si="0"/>
        <v>02/05/2021</v>
      </c>
      <c r="W9" s="7" t="s">
        <v>44</v>
      </c>
      <c r="X9" s="7"/>
    </row>
    <row r="10" spans="1:24" x14ac:dyDescent="0.25">
      <c r="A10" t="s">
        <v>24</v>
      </c>
      <c r="B10" t="s">
        <v>50</v>
      </c>
      <c r="C10" t="s">
        <v>85</v>
      </c>
      <c r="D10" t="s">
        <v>35</v>
      </c>
      <c r="E10" t="s">
        <v>28</v>
      </c>
      <c r="F10" t="s">
        <v>28</v>
      </c>
      <c r="I10" s="3" t="s">
        <v>86</v>
      </c>
      <c r="J10" s="3" t="str">
        <f t="shared" si="1"/>
        <v>2023</v>
      </c>
      <c r="K10" s="3" t="s">
        <v>87</v>
      </c>
      <c r="L10" s="3" t="s">
        <v>37</v>
      </c>
      <c r="M10" s="16" t="s">
        <v>88</v>
      </c>
      <c r="N10" s="3" t="s">
        <v>89</v>
      </c>
      <c r="O10" s="2" t="s">
        <v>90</v>
      </c>
      <c r="P10" t="s">
        <v>91</v>
      </c>
      <c r="Q10" t="s">
        <v>58</v>
      </c>
      <c r="R10" t="s">
        <v>59</v>
      </c>
      <c r="S10" t="s">
        <v>92</v>
      </c>
      <c r="T10" t="s">
        <v>43</v>
      </c>
      <c r="U10">
        <v>224876</v>
      </c>
      <c r="V10" t="str">
        <f t="shared" si="0"/>
        <v>02/23/2023</v>
      </c>
      <c r="W10" t="s">
        <v>44</v>
      </c>
    </row>
    <row r="11" spans="1:24" hidden="1" x14ac:dyDescent="0.25">
      <c r="A11" t="s">
        <v>24</v>
      </c>
      <c r="B11" t="s">
        <v>50</v>
      </c>
      <c r="C11" t="s">
        <v>93</v>
      </c>
      <c r="D11" t="s">
        <v>35</v>
      </c>
      <c r="E11" t="s">
        <v>26</v>
      </c>
      <c r="F11" t="s">
        <v>26</v>
      </c>
      <c r="G11" t="s">
        <v>27</v>
      </c>
      <c r="H11" t="s">
        <v>28</v>
      </c>
      <c r="I11" s="3" t="s">
        <v>52</v>
      </c>
      <c r="J11" s="3" t="str">
        <f t="shared" si="1"/>
        <v>2019</v>
      </c>
      <c r="K11" s="3"/>
      <c r="L11" s="3"/>
      <c r="M11" s="3"/>
      <c r="N11" s="3"/>
      <c r="O11" s="2" t="s">
        <v>94</v>
      </c>
      <c r="P11" t="s">
        <v>95</v>
      </c>
      <c r="Q11" t="s">
        <v>58</v>
      </c>
      <c r="R11" t="s">
        <v>59</v>
      </c>
      <c r="S11" t="s">
        <v>96</v>
      </c>
      <c r="T11" t="s">
        <v>43</v>
      </c>
      <c r="U11">
        <v>224874</v>
      </c>
      <c r="V11" t="str">
        <f t="shared" si="0"/>
        <v>10/25/2019</v>
      </c>
      <c r="W11" t="s">
        <v>44</v>
      </c>
    </row>
    <row r="12" spans="1:24" hidden="1" x14ac:dyDescent="0.25">
      <c r="A12" t="s">
        <v>24</v>
      </c>
      <c r="B12" t="s">
        <v>97</v>
      </c>
      <c r="C12" t="s">
        <v>98</v>
      </c>
      <c r="D12" t="s">
        <v>35</v>
      </c>
      <c r="E12" t="s">
        <v>26</v>
      </c>
      <c r="F12" t="s">
        <v>26</v>
      </c>
      <c r="G12" t="s">
        <v>27</v>
      </c>
      <c r="H12" t="s">
        <v>28</v>
      </c>
      <c r="I12" s="3" t="s">
        <v>99</v>
      </c>
      <c r="J12" s="3" t="str">
        <f t="shared" si="1"/>
        <v>2023</v>
      </c>
      <c r="K12" s="3"/>
      <c r="L12" s="3"/>
      <c r="M12" s="3"/>
      <c r="N12" s="3"/>
      <c r="O12" s="2" t="s">
        <v>100</v>
      </c>
      <c r="P12" t="s">
        <v>101</v>
      </c>
      <c r="Q12" t="s">
        <v>102</v>
      </c>
      <c r="R12" t="s">
        <v>103</v>
      </c>
      <c r="S12" t="s">
        <v>104</v>
      </c>
      <c r="T12" t="s">
        <v>43</v>
      </c>
      <c r="U12">
        <v>1239193</v>
      </c>
      <c r="V12" t="str">
        <f t="shared" si="0"/>
        <v>08/30/2023</v>
      </c>
      <c r="W12" t="s">
        <v>44</v>
      </c>
      <c r="X12" t="s">
        <v>105</v>
      </c>
    </row>
    <row r="13" spans="1:24" hidden="1" x14ac:dyDescent="0.25">
      <c r="A13" t="s">
        <v>24</v>
      </c>
      <c r="B13" s="7" t="s">
        <v>97</v>
      </c>
      <c r="C13" t="s">
        <v>106</v>
      </c>
      <c r="D13" t="s">
        <v>107</v>
      </c>
      <c r="E13" t="s">
        <v>26</v>
      </c>
      <c r="F13" t="s">
        <v>26</v>
      </c>
      <c r="G13" t="s">
        <v>27</v>
      </c>
      <c r="H13" t="s">
        <v>28</v>
      </c>
      <c r="I13" s="3" t="s">
        <v>108</v>
      </c>
      <c r="J13" s="3" t="str">
        <f t="shared" si="1"/>
        <v>2023</v>
      </c>
      <c r="K13" s="3"/>
      <c r="L13" s="3"/>
      <c r="M13" s="3"/>
      <c r="N13" s="3"/>
      <c r="O13" s="2" t="s">
        <v>109</v>
      </c>
      <c r="P13" t="s">
        <v>110</v>
      </c>
      <c r="Q13" t="s">
        <v>102</v>
      </c>
      <c r="R13" t="s">
        <v>103</v>
      </c>
      <c r="S13" t="s">
        <v>111</v>
      </c>
      <c r="T13" t="s">
        <v>43</v>
      </c>
      <c r="U13">
        <v>1239203</v>
      </c>
      <c r="V13" t="str">
        <f t="shared" si="0"/>
        <v>09/08/2023</v>
      </c>
      <c r="W13" t="s">
        <v>44</v>
      </c>
      <c r="X13" t="s">
        <v>112</v>
      </c>
    </row>
    <row r="14" spans="1:24" x14ac:dyDescent="0.25">
      <c r="A14" t="s">
        <v>24</v>
      </c>
      <c r="B14" s="7" t="s">
        <v>97</v>
      </c>
      <c r="C14" s="7" t="s">
        <v>113</v>
      </c>
      <c r="D14" s="7" t="s">
        <v>35</v>
      </c>
      <c r="E14" s="7" t="s">
        <v>28</v>
      </c>
      <c r="F14" s="7" t="s">
        <v>28</v>
      </c>
      <c r="G14" s="7"/>
      <c r="H14" s="7"/>
      <c r="I14" s="13">
        <v>43763</v>
      </c>
      <c r="J14" s="13" t="str">
        <f t="shared" si="1"/>
        <v>3763</v>
      </c>
      <c r="K14" s="13"/>
      <c r="L14" s="13" t="s">
        <v>37</v>
      </c>
      <c r="M14" s="13" t="s">
        <v>37</v>
      </c>
      <c r="N14" s="13"/>
      <c r="O14" s="14" t="s">
        <v>114</v>
      </c>
      <c r="P14" s="7" t="s">
        <v>115</v>
      </c>
      <c r="Q14" s="7" t="s">
        <v>102</v>
      </c>
      <c r="R14" s="7" t="s">
        <v>103</v>
      </c>
      <c r="S14" s="7" t="s">
        <v>116</v>
      </c>
      <c r="T14" s="7" t="s">
        <v>43</v>
      </c>
      <c r="U14" s="7">
        <v>1239124</v>
      </c>
      <c r="V14" s="7" t="str">
        <f t="shared" si="0"/>
        <v>10/25/2019</v>
      </c>
      <c r="W14" s="7" t="s">
        <v>44</v>
      </c>
      <c r="X14" s="7" t="s">
        <v>98</v>
      </c>
    </row>
    <row r="15" spans="1:24" x14ac:dyDescent="0.25">
      <c r="A15" t="s">
        <v>24</v>
      </c>
      <c r="B15" s="7" t="s">
        <v>97</v>
      </c>
      <c r="C15" s="7" t="s">
        <v>69</v>
      </c>
      <c r="D15" s="7" t="s">
        <v>35</v>
      </c>
      <c r="E15" s="7" t="s">
        <v>28</v>
      </c>
      <c r="F15" s="7" t="s">
        <v>28</v>
      </c>
      <c r="G15" s="7"/>
      <c r="H15" s="7"/>
      <c r="I15" s="13" t="s">
        <v>52</v>
      </c>
      <c r="J15" s="13" t="str">
        <f t="shared" si="1"/>
        <v>2019</v>
      </c>
      <c r="K15" s="13"/>
      <c r="L15" s="13" t="s">
        <v>117</v>
      </c>
      <c r="M15" s="13" t="s">
        <v>37</v>
      </c>
      <c r="N15" s="13"/>
      <c r="O15" s="14" t="s">
        <v>118</v>
      </c>
      <c r="P15" s="7" t="s">
        <v>119</v>
      </c>
      <c r="Q15" s="7" t="s">
        <v>102</v>
      </c>
      <c r="R15" s="7" t="s">
        <v>103</v>
      </c>
      <c r="S15" s="7" t="s">
        <v>120</v>
      </c>
      <c r="T15" s="7" t="s">
        <v>43</v>
      </c>
      <c r="U15" s="7">
        <v>1239125</v>
      </c>
      <c r="V15" s="7" t="str">
        <f t="shared" si="0"/>
        <v>10/25/2019</v>
      </c>
      <c r="W15" s="7" t="s">
        <v>44</v>
      </c>
      <c r="X15" s="7" t="s">
        <v>121</v>
      </c>
    </row>
    <row r="16" spans="1:24" x14ac:dyDescent="0.25">
      <c r="A16" t="s">
        <v>24</v>
      </c>
      <c r="B16" s="7" t="s">
        <v>97</v>
      </c>
      <c r="C16" s="7" t="s">
        <v>122</v>
      </c>
      <c r="D16" s="7" t="s">
        <v>35</v>
      </c>
      <c r="E16" s="7" t="s">
        <v>28</v>
      </c>
      <c r="F16" s="7" t="s">
        <v>28</v>
      </c>
      <c r="G16" s="7"/>
      <c r="H16" s="7"/>
      <c r="I16" s="13" t="s">
        <v>52</v>
      </c>
      <c r="J16" s="13" t="str">
        <f t="shared" si="1"/>
        <v>2019</v>
      </c>
      <c r="K16" s="13"/>
      <c r="L16" s="13" t="s">
        <v>37</v>
      </c>
      <c r="M16" s="13" t="s">
        <v>37</v>
      </c>
      <c r="N16" s="13"/>
      <c r="O16" s="14" t="s">
        <v>123</v>
      </c>
      <c r="P16" s="7" t="s">
        <v>124</v>
      </c>
      <c r="Q16" s="7" t="s">
        <v>102</v>
      </c>
      <c r="R16" s="7" t="s">
        <v>103</v>
      </c>
      <c r="S16" s="7" t="s">
        <v>125</v>
      </c>
      <c r="T16" s="7" t="s">
        <v>43</v>
      </c>
      <c r="U16" s="7">
        <v>1239126</v>
      </c>
      <c r="V16" s="7" t="str">
        <f t="shared" si="0"/>
        <v>10/25/2019</v>
      </c>
      <c r="W16" s="7" t="s">
        <v>44</v>
      </c>
      <c r="X16" s="7" t="s">
        <v>126</v>
      </c>
    </row>
    <row r="17" spans="1:24" x14ac:dyDescent="0.25">
      <c r="A17" t="s">
        <v>24</v>
      </c>
      <c r="B17" t="s">
        <v>97</v>
      </c>
      <c r="C17" t="s">
        <v>127</v>
      </c>
      <c r="D17" t="s">
        <v>35</v>
      </c>
      <c r="E17" t="s">
        <v>28</v>
      </c>
      <c r="F17" t="s">
        <v>28</v>
      </c>
      <c r="I17" s="3" t="s">
        <v>52</v>
      </c>
      <c r="J17" s="3" t="str">
        <f t="shared" si="1"/>
        <v>2019</v>
      </c>
      <c r="K17" s="3"/>
      <c r="L17" s="3" t="s">
        <v>37</v>
      </c>
      <c r="M17" s="16" t="s">
        <v>128</v>
      </c>
      <c r="N17" s="3"/>
      <c r="O17" s="2" t="s">
        <v>129</v>
      </c>
      <c r="P17" t="s">
        <v>130</v>
      </c>
      <c r="Q17" t="s">
        <v>102</v>
      </c>
      <c r="R17" t="s">
        <v>103</v>
      </c>
      <c r="S17" t="s">
        <v>131</v>
      </c>
      <c r="T17" t="s">
        <v>43</v>
      </c>
      <c r="U17">
        <v>1239127</v>
      </c>
      <c r="V17" t="str">
        <f t="shared" si="0"/>
        <v>10/25/2019</v>
      </c>
      <c r="W17" t="s">
        <v>44</v>
      </c>
      <c r="X17" t="s">
        <v>132</v>
      </c>
    </row>
    <row r="18" spans="1:24" x14ac:dyDescent="0.25">
      <c r="A18" t="s">
        <v>24</v>
      </c>
      <c r="B18" s="7" t="s">
        <v>97</v>
      </c>
      <c r="C18" s="7" t="s">
        <v>133</v>
      </c>
      <c r="D18" s="7" t="s">
        <v>35</v>
      </c>
      <c r="E18" s="7" t="s">
        <v>28</v>
      </c>
      <c r="F18" s="7" t="s">
        <v>28</v>
      </c>
      <c r="G18" s="7"/>
      <c r="H18" s="7"/>
      <c r="I18" s="13" t="s">
        <v>52</v>
      </c>
      <c r="J18" s="13" t="str">
        <f t="shared" si="1"/>
        <v>2019</v>
      </c>
      <c r="K18" s="13"/>
      <c r="L18" s="31" t="s">
        <v>134</v>
      </c>
      <c r="M18" s="13" t="s">
        <v>37</v>
      </c>
      <c r="N18" s="13"/>
      <c r="O18" s="14" t="s">
        <v>135</v>
      </c>
      <c r="P18" s="7" t="s">
        <v>136</v>
      </c>
      <c r="Q18" s="7" t="s">
        <v>102</v>
      </c>
      <c r="R18" s="7" t="s">
        <v>103</v>
      </c>
      <c r="S18" s="7" t="s">
        <v>137</v>
      </c>
      <c r="T18" s="7" t="s">
        <v>43</v>
      </c>
      <c r="U18" s="7">
        <v>1239131</v>
      </c>
      <c r="V18" s="7" t="str">
        <f t="shared" si="0"/>
        <v>10/25/2019</v>
      </c>
      <c r="W18" s="7" t="s">
        <v>44</v>
      </c>
      <c r="X18" s="7" t="s">
        <v>138</v>
      </c>
    </row>
    <row r="19" spans="1:24" x14ac:dyDescent="0.25">
      <c r="A19" t="s">
        <v>24</v>
      </c>
      <c r="B19" s="7" t="s">
        <v>97</v>
      </c>
      <c r="C19" s="7" t="s">
        <v>139</v>
      </c>
      <c r="D19" s="7" t="s">
        <v>35</v>
      </c>
      <c r="E19" s="7" t="s">
        <v>28</v>
      </c>
      <c r="F19" s="7" t="s">
        <v>28</v>
      </c>
      <c r="G19" s="7"/>
      <c r="H19" s="7"/>
      <c r="I19" s="13" t="s">
        <v>52</v>
      </c>
      <c r="J19" s="13" t="str">
        <f t="shared" si="1"/>
        <v>2019</v>
      </c>
      <c r="K19" s="13"/>
      <c r="L19" s="13" t="s">
        <v>37</v>
      </c>
      <c r="M19" s="13" t="s">
        <v>37</v>
      </c>
      <c r="N19" s="13"/>
      <c r="O19" s="14" t="s">
        <v>140</v>
      </c>
      <c r="P19" s="7" t="s">
        <v>141</v>
      </c>
      <c r="Q19" s="7" t="s">
        <v>102</v>
      </c>
      <c r="R19" s="7" t="s">
        <v>103</v>
      </c>
      <c r="S19" s="7" t="s">
        <v>142</v>
      </c>
      <c r="T19" s="7" t="s">
        <v>43</v>
      </c>
      <c r="U19" s="7">
        <v>1239132</v>
      </c>
      <c r="V19" s="7" t="str">
        <f t="shared" si="0"/>
        <v>10/25/2019</v>
      </c>
      <c r="W19" s="7" t="s">
        <v>44</v>
      </c>
      <c r="X19" s="7" t="s">
        <v>143</v>
      </c>
    </row>
    <row r="20" spans="1:24" x14ac:dyDescent="0.25">
      <c r="A20" t="s">
        <v>24</v>
      </c>
      <c r="B20" s="7" t="s">
        <v>97</v>
      </c>
      <c r="C20" s="7" t="s">
        <v>144</v>
      </c>
      <c r="D20" s="7" t="s">
        <v>35</v>
      </c>
      <c r="E20" s="7" t="s">
        <v>28</v>
      </c>
      <c r="F20" s="7" t="s">
        <v>28</v>
      </c>
      <c r="G20" s="7"/>
      <c r="H20" s="7"/>
      <c r="I20" s="13" t="s">
        <v>52</v>
      </c>
      <c r="J20" s="13" t="str">
        <f t="shared" si="1"/>
        <v>2019</v>
      </c>
      <c r="K20" s="13"/>
      <c r="L20" s="13" t="s">
        <v>37</v>
      </c>
      <c r="M20" s="13" t="s">
        <v>37</v>
      </c>
      <c r="N20" s="13"/>
      <c r="O20" s="14" t="s">
        <v>145</v>
      </c>
      <c r="P20" s="7" t="s">
        <v>146</v>
      </c>
      <c r="Q20" s="7" t="s">
        <v>102</v>
      </c>
      <c r="R20" s="7" t="s">
        <v>103</v>
      </c>
      <c r="S20" s="7" t="s">
        <v>147</v>
      </c>
      <c r="T20" s="7" t="s">
        <v>43</v>
      </c>
      <c r="U20" s="7">
        <v>1239133</v>
      </c>
      <c r="V20" s="7" t="str">
        <f t="shared" si="0"/>
        <v>10/25/2019</v>
      </c>
      <c r="W20" s="7" t="s">
        <v>44</v>
      </c>
      <c r="X20" s="7" t="s">
        <v>148</v>
      </c>
    </row>
    <row r="21" spans="1:24" x14ac:dyDescent="0.25">
      <c r="A21" t="s">
        <v>24</v>
      </c>
      <c r="B21" t="s">
        <v>97</v>
      </c>
      <c r="C21" t="s">
        <v>85</v>
      </c>
      <c r="D21" t="s">
        <v>35</v>
      </c>
      <c r="E21" t="s">
        <v>28</v>
      </c>
      <c r="F21" t="s">
        <v>28</v>
      </c>
      <c r="I21" s="3" t="s">
        <v>149</v>
      </c>
      <c r="J21" s="3" t="str">
        <f t="shared" si="1"/>
        <v>2019</v>
      </c>
      <c r="K21" s="3" t="s">
        <v>87</v>
      </c>
      <c r="L21" s="15" t="s">
        <v>150</v>
      </c>
      <c r="M21" s="16" t="s">
        <v>151</v>
      </c>
      <c r="N21" s="3" t="s">
        <v>152</v>
      </c>
      <c r="O21" s="2" t="s">
        <v>153</v>
      </c>
      <c r="P21" t="s">
        <v>154</v>
      </c>
      <c r="Q21" t="s">
        <v>102</v>
      </c>
      <c r="R21" t="s">
        <v>103</v>
      </c>
      <c r="S21" t="s">
        <v>155</v>
      </c>
      <c r="T21" t="s">
        <v>43</v>
      </c>
      <c r="U21">
        <v>1239151</v>
      </c>
      <c r="V21" t="str">
        <f t="shared" si="0"/>
        <v>11/07/2019</v>
      </c>
      <c r="W21" t="s">
        <v>44</v>
      </c>
      <c r="X21" t="s">
        <v>156</v>
      </c>
    </row>
    <row r="22" spans="1:24" x14ac:dyDescent="0.25">
      <c r="A22" t="s">
        <v>24</v>
      </c>
      <c r="B22" s="7" t="s">
        <v>97</v>
      </c>
      <c r="C22" s="7" t="s">
        <v>157</v>
      </c>
      <c r="D22" s="7" t="s">
        <v>35</v>
      </c>
      <c r="E22" s="7" t="s">
        <v>28</v>
      </c>
      <c r="F22" s="7" t="s">
        <v>28</v>
      </c>
      <c r="G22" s="7"/>
      <c r="H22" s="7"/>
      <c r="I22" s="13" t="s">
        <v>52</v>
      </c>
      <c r="J22" s="13" t="str">
        <f t="shared" si="1"/>
        <v>2019</v>
      </c>
      <c r="K22" s="13"/>
      <c r="L22" s="13" t="s">
        <v>37</v>
      </c>
      <c r="M22" s="13" t="s">
        <v>37</v>
      </c>
      <c r="N22" s="13"/>
      <c r="O22" s="14" t="s">
        <v>158</v>
      </c>
      <c r="P22" s="7" t="s">
        <v>159</v>
      </c>
      <c r="Q22" s="7" t="s">
        <v>102</v>
      </c>
      <c r="R22" s="7" t="s">
        <v>103</v>
      </c>
      <c r="S22" s="7" t="s">
        <v>160</v>
      </c>
      <c r="T22" s="7" t="s">
        <v>43</v>
      </c>
      <c r="U22" s="7">
        <v>1239135</v>
      </c>
      <c r="V22" s="7" t="str">
        <f t="shared" si="0"/>
        <v>10/25/2019</v>
      </c>
      <c r="W22" s="7" t="s">
        <v>44</v>
      </c>
      <c r="X22" s="7" t="s">
        <v>161</v>
      </c>
    </row>
    <row r="23" spans="1:24" x14ac:dyDescent="0.25">
      <c r="A23" t="s">
        <v>24</v>
      </c>
      <c r="B23" t="s">
        <v>97</v>
      </c>
      <c r="C23" t="s">
        <v>162</v>
      </c>
      <c r="D23" t="s">
        <v>35</v>
      </c>
      <c r="E23" t="s">
        <v>28</v>
      </c>
      <c r="F23" t="s">
        <v>28</v>
      </c>
      <c r="I23" s="3" t="s">
        <v>52</v>
      </c>
      <c r="J23" s="3" t="str">
        <f t="shared" si="1"/>
        <v>2019</v>
      </c>
      <c r="K23" s="3" t="s">
        <v>63</v>
      </c>
      <c r="L23" s="15" t="s">
        <v>163</v>
      </c>
      <c r="M23" s="16" t="s">
        <v>164</v>
      </c>
      <c r="N23" s="3" t="s">
        <v>165</v>
      </c>
      <c r="O23" s="2" t="s">
        <v>166</v>
      </c>
      <c r="P23" t="s">
        <v>167</v>
      </c>
      <c r="Q23" t="s">
        <v>102</v>
      </c>
      <c r="R23" t="s">
        <v>103</v>
      </c>
      <c r="S23" t="s">
        <v>168</v>
      </c>
      <c r="T23" t="s">
        <v>43</v>
      </c>
      <c r="U23">
        <v>1239137</v>
      </c>
      <c r="V23" t="str">
        <f t="shared" si="0"/>
        <v>10/25/2019</v>
      </c>
      <c r="W23" t="s">
        <v>44</v>
      </c>
    </row>
    <row r="24" spans="1:24" x14ac:dyDescent="0.25">
      <c r="A24" t="s">
        <v>24</v>
      </c>
      <c r="B24" t="s">
        <v>97</v>
      </c>
      <c r="C24" t="s">
        <v>169</v>
      </c>
      <c r="D24" t="s">
        <v>35</v>
      </c>
      <c r="E24" t="s">
        <v>28</v>
      </c>
      <c r="F24" t="s">
        <v>28</v>
      </c>
      <c r="I24" s="3" t="s">
        <v>52</v>
      </c>
      <c r="J24" s="3" t="str">
        <f t="shared" si="1"/>
        <v>2019</v>
      </c>
      <c r="K24" s="3"/>
      <c r="L24" s="3" t="s">
        <v>37</v>
      </c>
      <c r="M24" s="16" t="s">
        <v>170</v>
      </c>
      <c r="N24" s="3"/>
      <c r="O24" s="2" t="s">
        <v>171</v>
      </c>
      <c r="P24" t="s">
        <v>172</v>
      </c>
      <c r="Q24" t="s">
        <v>102</v>
      </c>
      <c r="R24" t="s">
        <v>103</v>
      </c>
      <c r="S24" t="s">
        <v>173</v>
      </c>
      <c r="T24" t="s">
        <v>43</v>
      </c>
      <c r="U24">
        <v>1239138</v>
      </c>
      <c r="V24" t="str">
        <f t="shared" si="0"/>
        <v>10/25/2019</v>
      </c>
      <c r="W24" t="s">
        <v>44</v>
      </c>
      <c r="X24" t="s">
        <v>174</v>
      </c>
    </row>
    <row r="25" spans="1:24" x14ac:dyDescent="0.25">
      <c r="A25" t="s">
        <v>24</v>
      </c>
      <c r="B25" t="s">
        <v>97</v>
      </c>
      <c r="C25" t="s">
        <v>175</v>
      </c>
      <c r="D25" t="s">
        <v>35</v>
      </c>
      <c r="E25" t="s">
        <v>28</v>
      </c>
      <c r="F25" t="s">
        <v>28</v>
      </c>
      <c r="I25" s="3" t="s">
        <v>52</v>
      </c>
      <c r="J25" s="3" t="str">
        <f t="shared" si="1"/>
        <v>2019</v>
      </c>
      <c r="K25" s="3"/>
      <c r="L25" s="3" t="s">
        <v>37</v>
      </c>
      <c r="M25" s="16" t="s">
        <v>176</v>
      </c>
      <c r="N25" s="3"/>
      <c r="O25" s="2" t="s">
        <v>177</v>
      </c>
      <c r="P25" t="s">
        <v>178</v>
      </c>
      <c r="Q25" t="s">
        <v>102</v>
      </c>
      <c r="R25" t="s">
        <v>103</v>
      </c>
      <c r="S25" t="s">
        <v>179</v>
      </c>
      <c r="T25" t="s">
        <v>43</v>
      </c>
      <c r="U25">
        <v>1239141</v>
      </c>
      <c r="V25" t="str">
        <f t="shared" si="0"/>
        <v>10/25/2019</v>
      </c>
      <c r="W25" t="s">
        <v>44</v>
      </c>
      <c r="X25" t="s">
        <v>180</v>
      </c>
    </row>
    <row r="26" spans="1:24" x14ac:dyDescent="0.25">
      <c r="A26" t="s">
        <v>24</v>
      </c>
      <c r="B26" s="7" t="s">
        <v>97</v>
      </c>
      <c r="C26" s="7" t="s">
        <v>181</v>
      </c>
      <c r="D26" s="7" t="s">
        <v>35</v>
      </c>
      <c r="E26" s="7" t="s">
        <v>28</v>
      </c>
      <c r="F26" s="7" t="s">
        <v>28</v>
      </c>
      <c r="G26" s="7"/>
      <c r="H26" s="7"/>
      <c r="I26" s="13" t="s">
        <v>52</v>
      </c>
      <c r="J26" s="13" t="str">
        <f t="shared" si="1"/>
        <v>2019</v>
      </c>
      <c r="K26" s="13"/>
      <c r="L26" s="13" t="s">
        <v>87</v>
      </c>
      <c r="M26" s="13" t="s">
        <v>37</v>
      </c>
      <c r="N26" s="13"/>
      <c r="O26" s="14" t="s">
        <v>182</v>
      </c>
      <c r="P26" s="7" t="s">
        <v>183</v>
      </c>
      <c r="Q26" s="7" t="s">
        <v>102</v>
      </c>
      <c r="R26" s="7" t="s">
        <v>103</v>
      </c>
      <c r="S26" s="7" t="s">
        <v>184</v>
      </c>
      <c r="T26" s="7" t="s">
        <v>43</v>
      </c>
      <c r="U26" s="7">
        <v>1239142</v>
      </c>
      <c r="V26" s="7" t="str">
        <f t="shared" si="0"/>
        <v>10/25/2019</v>
      </c>
      <c r="W26" s="7" t="s">
        <v>44</v>
      </c>
      <c r="X26" s="7" t="s">
        <v>185</v>
      </c>
    </row>
    <row r="27" spans="1:24" x14ac:dyDescent="0.25">
      <c r="A27" t="s">
        <v>24</v>
      </c>
      <c r="B27" t="s">
        <v>97</v>
      </c>
      <c r="C27" t="s">
        <v>186</v>
      </c>
      <c r="D27" t="s">
        <v>35</v>
      </c>
      <c r="E27" t="s">
        <v>28</v>
      </c>
      <c r="F27" t="s">
        <v>28</v>
      </c>
      <c r="I27" s="3" t="s">
        <v>52</v>
      </c>
      <c r="J27" s="3" t="str">
        <f t="shared" si="1"/>
        <v>2019</v>
      </c>
      <c r="K27" s="3" t="s">
        <v>87</v>
      </c>
      <c r="L27" s="15" t="s">
        <v>187</v>
      </c>
      <c r="M27" s="16" t="s">
        <v>188</v>
      </c>
      <c r="N27" s="3" t="s">
        <v>189</v>
      </c>
      <c r="O27" s="2" t="s">
        <v>190</v>
      </c>
      <c r="P27" t="s">
        <v>191</v>
      </c>
      <c r="Q27" t="s">
        <v>102</v>
      </c>
      <c r="R27" t="s">
        <v>103</v>
      </c>
      <c r="S27" t="s">
        <v>192</v>
      </c>
      <c r="T27" t="s">
        <v>43</v>
      </c>
      <c r="U27">
        <v>1239144</v>
      </c>
      <c r="V27" t="str">
        <f t="shared" si="0"/>
        <v>10/25/2019</v>
      </c>
      <c r="W27" t="s">
        <v>44</v>
      </c>
      <c r="X27" t="s">
        <v>193</v>
      </c>
    </row>
    <row r="28" spans="1:24" x14ac:dyDescent="0.25">
      <c r="A28" t="s">
        <v>24</v>
      </c>
      <c r="B28" t="s">
        <v>97</v>
      </c>
      <c r="C28" t="s">
        <v>77</v>
      </c>
      <c r="D28" t="s">
        <v>35</v>
      </c>
      <c r="E28" t="s">
        <v>28</v>
      </c>
      <c r="F28" t="s">
        <v>28</v>
      </c>
      <c r="I28" s="3" t="s">
        <v>194</v>
      </c>
      <c r="J28" s="3" t="str">
        <f t="shared" si="1"/>
        <v>2019</v>
      </c>
      <c r="K28" s="3" t="s">
        <v>195</v>
      </c>
      <c r="L28" s="15" t="s">
        <v>196</v>
      </c>
      <c r="M28" s="16" t="s">
        <v>197</v>
      </c>
      <c r="N28" s="3" t="s">
        <v>198</v>
      </c>
      <c r="O28" s="2" t="s">
        <v>199</v>
      </c>
      <c r="P28" t="s">
        <v>200</v>
      </c>
      <c r="Q28" t="s">
        <v>102</v>
      </c>
      <c r="R28" t="s">
        <v>103</v>
      </c>
      <c r="S28" t="s">
        <v>201</v>
      </c>
      <c r="T28" t="s">
        <v>43</v>
      </c>
      <c r="U28">
        <v>1239150</v>
      </c>
      <c r="V28" t="str">
        <f t="shared" si="0"/>
        <v>10/28/2019</v>
      </c>
      <c r="W28" t="s">
        <v>44</v>
      </c>
      <c r="X28" t="s">
        <v>202</v>
      </c>
    </row>
    <row r="29" spans="1:24" x14ac:dyDescent="0.25">
      <c r="A29" t="s">
        <v>24</v>
      </c>
      <c r="B29" s="7" t="s">
        <v>97</v>
      </c>
      <c r="C29" s="7" t="s">
        <v>93</v>
      </c>
      <c r="D29" s="7" t="s">
        <v>35</v>
      </c>
      <c r="E29" s="7" t="s">
        <v>28</v>
      </c>
      <c r="F29" s="7" t="s">
        <v>28</v>
      </c>
      <c r="G29" s="7"/>
      <c r="H29" s="7"/>
      <c r="I29" s="13" t="s">
        <v>52</v>
      </c>
      <c r="J29" s="13" t="str">
        <f t="shared" si="1"/>
        <v>2019</v>
      </c>
      <c r="K29" s="13"/>
      <c r="L29" s="13" t="s">
        <v>37</v>
      </c>
      <c r="M29" s="13" t="s">
        <v>37</v>
      </c>
      <c r="N29" s="13"/>
      <c r="O29" s="14" t="s">
        <v>203</v>
      </c>
      <c r="P29" s="7" t="s">
        <v>204</v>
      </c>
      <c r="Q29" s="7" t="s">
        <v>102</v>
      </c>
      <c r="R29" s="7" t="s">
        <v>103</v>
      </c>
      <c r="S29" s="7" t="s">
        <v>205</v>
      </c>
      <c r="T29" s="7" t="s">
        <v>43</v>
      </c>
      <c r="U29" s="7">
        <v>1239148</v>
      </c>
      <c r="V29" s="7" t="str">
        <f t="shared" si="0"/>
        <v>10/25/2019</v>
      </c>
      <c r="W29" s="7" t="s">
        <v>44</v>
      </c>
      <c r="X29" s="7"/>
    </row>
    <row r="30" spans="1:24" x14ac:dyDescent="0.25">
      <c r="A30" t="s">
        <v>24</v>
      </c>
      <c r="B30" s="7" t="s">
        <v>97</v>
      </c>
      <c r="C30" s="7" t="s">
        <v>206</v>
      </c>
      <c r="D30" s="7" t="s">
        <v>35</v>
      </c>
      <c r="E30" s="7" t="s">
        <v>28</v>
      </c>
      <c r="F30" s="7" t="s">
        <v>28</v>
      </c>
      <c r="G30" s="7"/>
      <c r="H30" s="7"/>
      <c r="I30" s="13" t="s">
        <v>52</v>
      </c>
      <c r="J30" s="13" t="str">
        <f t="shared" si="1"/>
        <v>2019</v>
      </c>
      <c r="K30" s="13"/>
      <c r="L30" s="13" t="s">
        <v>37</v>
      </c>
      <c r="M30" s="13" t="s">
        <v>37</v>
      </c>
      <c r="N30" s="13"/>
      <c r="O30" s="14" t="s">
        <v>207</v>
      </c>
      <c r="P30" s="7" t="s">
        <v>208</v>
      </c>
      <c r="Q30" s="7" t="s">
        <v>102</v>
      </c>
      <c r="R30" s="7" t="s">
        <v>103</v>
      </c>
      <c r="S30" s="7" t="s">
        <v>209</v>
      </c>
      <c r="T30" s="7" t="s">
        <v>43</v>
      </c>
      <c r="U30" s="7">
        <v>1239149</v>
      </c>
      <c r="V30" s="7" t="str">
        <f t="shared" si="0"/>
        <v>10/25/2019</v>
      </c>
      <c r="W30" s="7" t="s">
        <v>44</v>
      </c>
      <c r="X30" s="7"/>
    </row>
    <row r="31" spans="1:24" x14ac:dyDescent="0.25">
      <c r="A31" t="s">
        <v>24</v>
      </c>
      <c r="B31" t="s">
        <v>97</v>
      </c>
      <c r="C31" t="s">
        <v>62</v>
      </c>
      <c r="D31" t="s">
        <v>35</v>
      </c>
      <c r="E31" t="s">
        <v>28</v>
      </c>
      <c r="F31" t="s">
        <v>28</v>
      </c>
      <c r="I31" s="3" t="s">
        <v>210</v>
      </c>
      <c r="J31" s="3" t="str">
        <f t="shared" si="1"/>
        <v>2020</v>
      </c>
      <c r="K31" s="3"/>
      <c r="L31" s="16" t="s">
        <v>211</v>
      </c>
      <c r="M31" s="16" t="s">
        <v>212</v>
      </c>
      <c r="N31" s="3"/>
      <c r="O31" s="2" t="s">
        <v>213</v>
      </c>
      <c r="P31" t="s">
        <v>214</v>
      </c>
      <c r="Q31" t="s">
        <v>102</v>
      </c>
      <c r="R31" t="s">
        <v>103</v>
      </c>
      <c r="S31" t="s">
        <v>215</v>
      </c>
      <c r="T31" t="s">
        <v>43</v>
      </c>
      <c r="U31">
        <v>1239152</v>
      </c>
      <c r="V31" t="str">
        <f t="shared" si="0"/>
        <v>04/27/2020</v>
      </c>
      <c r="W31" t="s">
        <v>44</v>
      </c>
      <c r="X31" t="s">
        <v>216</v>
      </c>
    </row>
    <row r="32" spans="1:24" x14ac:dyDescent="0.25">
      <c r="A32" t="s">
        <v>24</v>
      </c>
      <c r="B32" t="s">
        <v>97</v>
      </c>
      <c r="C32" t="s">
        <v>217</v>
      </c>
      <c r="D32" t="s">
        <v>35</v>
      </c>
      <c r="E32" t="s">
        <v>28</v>
      </c>
      <c r="F32" t="s">
        <v>28</v>
      </c>
      <c r="I32" s="3">
        <v>43971</v>
      </c>
      <c r="J32" s="3" t="str">
        <f t="shared" si="1"/>
        <v>3971</v>
      </c>
      <c r="K32" s="3" t="s">
        <v>218</v>
      </c>
      <c r="L32" s="15" t="s">
        <v>219</v>
      </c>
      <c r="M32" s="16" t="s">
        <v>220</v>
      </c>
      <c r="N32" s="3" t="s">
        <v>221</v>
      </c>
      <c r="O32" s="2" t="s">
        <v>222</v>
      </c>
      <c r="P32" t="s">
        <v>223</v>
      </c>
      <c r="Q32" t="s">
        <v>102</v>
      </c>
      <c r="R32" t="s">
        <v>103</v>
      </c>
      <c r="S32" t="s">
        <v>224</v>
      </c>
      <c r="T32" t="s">
        <v>43</v>
      </c>
      <c r="U32">
        <v>1239153</v>
      </c>
      <c r="V32" t="str">
        <f t="shared" si="0"/>
        <v>05/20/2020</v>
      </c>
      <c r="W32" t="s">
        <v>44</v>
      </c>
      <c r="X32" t="s">
        <v>225</v>
      </c>
    </row>
    <row r="33" spans="1:24" x14ac:dyDescent="0.25">
      <c r="A33" t="s">
        <v>24</v>
      </c>
      <c r="B33" t="s">
        <v>97</v>
      </c>
      <c r="C33" t="s">
        <v>226</v>
      </c>
      <c r="D33" t="s">
        <v>35</v>
      </c>
      <c r="E33" t="s">
        <v>28</v>
      </c>
      <c r="F33" t="s">
        <v>28</v>
      </c>
      <c r="I33" s="3" t="s">
        <v>227</v>
      </c>
      <c r="J33" s="3" t="str">
        <f t="shared" si="1"/>
        <v>2020</v>
      </c>
      <c r="K33" s="3" t="s">
        <v>228</v>
      </c>
      <c r="L33" s="16" t="s">
        <v>211</v>
      </c>
      <c r="M33" s="16" t="s">
        <v>229</v>
      </c>
      <c r="N33" s="3" t="s">
        <v>230</v>
      </c>
      <c r="O33" s="2" t="s">
        <v>231</v>
      </c>
      <c r="P33" t="s">
        <v>232</v>
      </c>
      <c r="Q33" t="s">
        <v>102</v>
      </c>
      <c r="R33" t="s">
        <v>103</v>
      </c>
      <c r="S33" t="s">
        <v>233</v>
      </c>
      <c r="T33" t="s">
        <v>43</v>
      </c>
      <c r="U33">
        <v>1239154</v>
      </c>
      <c r="V33" t="str">
        <f t="shared" si="0"/>
        <v>07/30/2020</v>
      </c>
      <c r="W33" t="s">
        <v>44</v>
      </c>
      <c r="X33" t="s">
        <v>234</v>
      </c>
    </row>
    <row r="34" spans="1:24" x14ac:dyDescent="0.25">
      <c r="A34" t="s">
        <v>24</v>
      </c>
      <c r="B34" t="s">
        <v>97</v>
      </c>
      <c r="C34" t="s">
        <v>235</v>
      </c>
      <c r="D34" t="s">
        <v>35</v>
      </c>
      <c r="E34" t="s">
        <v>28</v>
      </c>
      <c r="F34" t="s">
        <v>28</v>
      </c>
      <c r="I34" s="3" t="s">
        <v>236</v>
      </c>
      <c r="J34" s="3" t="str">
        <f t="shared" si="1"/>
        <v>2021</v>
      </c>
      <c r="K34" s="3" t="s">
        <v>237</v>
      </c>
      <c r="L34" s="15" t="s">
        <v>238</v>
      </c>
      <c r="M34" s="16" t="s">
        <v>239</v>
      </c>
      <c r="N34" s="3" t="s">
        <v>240</v>
      </c>
      <c r="O34" s="2" t="s">
        <v>241</v>
      </c>
      <c r="P34" t="s">
        <v>242</v>
      </c>
      <c r="Q34" t="s">
        <v>102</v>
      </c>
      <c r="R34" t="s">
        <v>103</v>
      </c>
      <c r="S34" t="s">
        <v>243</v>
      </c>
      <c r="T34" t="s">
        <v>43</v>
      </c>
      <c r="U34">
        <v>1239155</v>
      </c>
      <c r="V34" t="str">
        <f t="shared" si="0"/>
        <v>11/08/2021</v>
      </c>
      <c r="W34" t="s">
        <v>44</v>
      </c>
      <c r="X34" t="s">
        <v>244</v>
      </c>
    </row>
    <row r="35" spans="1:24" x14ac:dyDescent="0.25">
      <c r="A35" t="s">
        <v>24</v>
      </c>
      <c r="B35" t="s">
        <v>97</v>
      </c>
      <c r="C35" t="s">
        <v>245</v>
      </c>
      <c r="D35" t="s">
        <v>35</v>
      </c>
      <c r="E35" t="s">
        <v>28</v>
      </c>
      <c r="F35" t="s">
        <v>28</v>
      </c>
      <c r="I35" s="3">
        <v>45147</v>
      </c>
      <c r="J35" s="3" t="str">
        <f t="shared" si="1"/>
        <v>5147</v>
      </c>
      <c r="K35" s="3" t="s">
        <v>246</v>
      </c>
      <c r="L35" s="15" t="s">
        <v>247</v>
      </c>
      <c r="M35" s="16" t="s">
        <v>248</v>
      </c>
      <c r="N35" s="3"/>
      <c r="O35" s="2" t="s">
        <v>249</v>
      </c>
      <c r="P35" t="s">
        <v>250</v>
      </c>
      <c r="Q35" t="s">
        <v>102</v>
      </c>
      <c r="R35" t="s">
        <v>103</v>
      </c>
      <c r="S35" t="s">
        <v>251</v>
      </c>
      <c r="T35" t="s">
        <v>43</v>
      </c>
      <c r="U35">
        <v>1239185</v>
      </c>
      <c r="V35" t="str">
        <f t="shared" si="0"/>
        <v>08/09/2023</v>
      </c>
      <c r="W35" t="s">
        <v>44</v>
      </c>
      <c r="X35" t="s">
        <v>252</v>
      </c>
    </row>
    <row r="36" spans="1:24" hidden="1" x14ac:dyDescent="0.25">
      <c r="A36" t="s">
        <v>24</v>
      </c>
      <c r="B36" t="s">
        <v>97</v>
      </c>
      <c r="C36" t="s">
        <v>253</v>
      </c>
      <c r="D36" t="s">
        <v>35</v>
      </c>
      <c r="E36" t="s">
        <v>26</v>
      </c>
      <c r="F36" t="s">
        <v>26</v>
      </c>
      <c r="G36" t="s">
        <v>27</v>
      </c>
      <c r="H36" t="s">
        <v>28</v>
      </c>
      <c r="I36" s="3" t="s">
        <v>52</v>
      </c>
      <c r="J36" s="3" t="str">
        <f t="shared" si="1"/>
        <v>2019</v>
      </c>
      <c r="K36" s="3"/>
      <c r="L36" s="3"/>
      <c r="M36" s="3"/>
      <c r="N36" s="3"/>
      <c r="O36" s="2" t="s">
        <v>254</v>
      </c>
      <c r="P36" t="s">
        <v>255</v>
      </c>
      <c r="Q36" t="s">
        <v>102</v>
      </c>
      <c r="R36" t="s">
        <v>103</v>
      </c>
      <c r="S36" t="s">
        <v>256</v>
      </c>
      <c r="T36" t="s">
        <v>43</v>
      </c>
      <c r="U36">
        <v>1239129</v>
      </c>
      <c r="V36" t="str">
        <f t="shared" si="0"/>
        <v>10/25/2019</v>
      </c>
      <c r="W36" t="s">
        <v>44</v>
      </c>
      <c r="X36" t="s">
        <v>257</v>
      </c>
    </row>
    <row r="37" spans="1:24" hidden="1" x14ac:dyDescent="0.25">
      <c r="A37" t="s">
        <v>24</v>
      </c>
      <c r="B37" t="s">
        <v>97</v>
      </c>
      <c r="C37" t="s">
        <v>258</v>
      </c>
      <c r="D37" t="s">
        <v>35</v>
      </c>
      <c r="E37" t="s">
        <v>26</v>
      </c>
      <c r="F37" t="s">
        <v>26</v>
      </c>
      <c r="G37" t="s">
        <v>27</v>
      </c>
      <c r="H37" t="s">
        <v>28</v>
      </c>
      <c r="I37" s="3" t="s">
        <v>52</v>
      </c>
      <c r="J37" s="3" t="str">
        <f t="shared" si="1"/>
        <v>2019</v>
      </c>
      <c r="K37" s="3"/>
      <c r="L37" s="3"/>
      <c r="M37" s="3"/>
      <c r="N37" s="3"/>
      <c r="O37" s="2" t="s">
        <v>259</v>
      </c>
      <c r="P37" t="s">
        <v>260</v>
      </c>
      <c r="Q37" t="s">
        <v>102</v>
      </c>
      <c r="R37" t="s">
        <v>103</v>
      </c>
      <c r="S37" t="s">
        <v>261</v>
      </c>
      <c r="T37" t="s">
        <v>43</v>
      </c>
      <c r="U37">
        <v>1239136</v>
      </c>
      <c r="V37" t="str">
        <f t="shared" si="0"/>
        <v>10/25/2019</v>
      </c>
      <c r="W37" t="s">
        <v>44</v>
      </c>
      <c r="X37" t="s">
        <v>262</v>
      </c>
    </row>
    <row r="38" spans="1:24" hidden="1" x14ac:dyDescent="0.25">
      <c r="A38" t="s">
        <v>24</v>
      </c>
      <c r="B38" t="s">
        <v>97</v>
      </c>
      <c r="C38" t="s">
        <v>263</v>
      </c>
      <c r="D38" t="s">
        <v>35</v>
      </c>
      <c r="E38" t="s">
        <v>26</v>
      </c>
      <c r="F38" t="s">
        <v>26</v>
      </c>
      <c r="G38" t="s">
        <v>27</v>
      </c>
      <c r="H38" t="s">
        <v>28</v>
      </c>
      <c r="I38" s="3" t="s">
        <v>52</v>
      </c>
      <c r="J38" s="3" t="str">
        <f t="shared" si="1"/>
        <v>2019</v>
      </c>
      <c r="K38" s="3"/>
      <c r="L38" s="3"/>
      <c r="M38" s="3"/>
      <c r="N38" s="3"/>
      <c r="O38" s="2" t="s">
        <v>264</v>
      </c>
      <c r="P38" t="s">
        <v>265</v>
      </c>
      <c r="Q38" t="s">
        <v>102</v>
      </c>
      <c r="R38" t="s">
        <v>103</v>
      </c>
      <c r="S38" t="s">
        <v>266</v>
      </c>
      <c r="T38" t="s">
        <v>43</v>
      </c>
      <c r="U38">
        <v>1239140</v>
      </c>
      <c r="V38" t="str">
        <f t="shared" si="0"/>
        <v>10/25/2019</v>
      </c>
      <c r="W38" t="s">
        <v>44</v>
      </c>
      <c r="X38" t="s">
        <v>267</v>
      </c>
    </row>
    <row r="39" spans="1:24" hidden="1" x14ac:dyDescent="0.25">
      <c r="A39" t="s">
        <v>24</v>
      </c>
      <c r="B39" t="s">
        <v>97</v>
      </c>
      <c r="C39" t="s">
        <v>268</v>
      </c>
      <c r="D39" t="s">
        <v>35</v>
      </c>
      <c r="E39" t="s">
        <v>26</v>
      </c>
      <c r="F39" t="s">
        <v>26</v>
      </c>
      <c r="G39" t="s">
        <v>27</v>
      </c>
      <c r="H39" t="s">
        <v>28</v>
      </c>
      <c r="I39" s="3" t="s">
        <v>52</v>
      </c>
      <c r="J39" s="3" t="str">
        <f t="shared" si="1"/>
        <v>2019</v>
      </c>
      <c r="K39" s="3"/>
      <c r="L39" s="3"/>
      <c r="M39" s="3"/>
      <c r="N39" s="3"/>
      <c r="O39" s="2" t="s">
        <v>269</v>
      </c>
      <c r="P39" t="s">
        <v>270</v>
      </c>
      <c r="Q39" t="s">
        <v>102</v>
      </c>
      <c r="R39" t="s">
        <v>103</v>
      </c>
      <c r="S39" t="s">
        <v>271</v>
      </c>
      <c r="T39" t="s">
        <v>43</v>
      </c>
      <c r="U39">
        <v>1239145</v>
      </c>
      <c r="V39" t="str">
        <f t="shared" si="0"/>
        <v>10/25/2019</v>
      </c>
      <c r="W39" t="s">
        <v>44</v>
      </c>
      <c r="X39" t="s">
        <v>272</v>
      </c>
    </row>
    <row r="40" spans="1:24" hidden="1" x14ac:dyDescent="0.25">
      <c r="A40" t="s">
        <v>24</v>
      </c>
      <c r="B40" t="s">
        <v>97</v>
      </c>
      <c r="C40" t="s">
        <v>273</v>
      </c>
      <c r="D40" t="s">
        <v>35</v>
      </c>
      <c r="E40" t="s">
        <v>26</v>
      </c>
      <c r="F40" t="s">
        <v>26</v>
      </c>
      <c r="G40" t="s">
        <v>27</v>
      </c>
      <c r="H40" t="s">
        <v>28</v>
      </c>
      <c r="I40" s="3" t="s">
        <v>52</v>
      </c>
      <c r="J40" s="3" t="str">
        <f t="shared" si="1"/>
        <v>2019</v>
      </c>
      <c r="K40" s="3"/>
      <c r="L40" s="3"/>
      <c r="M40" s="3"/>
      <c r="N40" s="3"/>
      <c r="O40" s="2" t="s">
        <v>274</v>
      </c>
      <c r="P40" t="s">
        <v>275</v>
      </c>
      <c r="Q40" t="s">
        <v>102</v>
      </c>
      <c r="R40" t="s">
        <v>103</v>
      </c>
      <c r="S40" t="s">
        <v>276</v>
      </c>
      <c r="T40" t="s">
        <v>43</v>
      </c>
      <c r="U40">
        <v>1239147</v>
      </c>
      <c r="V40" t="str">
        <f t="shared" si="0"/>
        <v>10/25/2019</v>
      </c>
      <c r="W40" t="s">
        <v>44</v>
      </c>
      <c r="X40" t="s">
        <v>277</v>
      </c>
    </row>
    <row r="41" spans="1:24" x14ac:dyDescent="0.25">
      <c r="A41" t="s">
        <v>24</v>
      </c>
      <c r="B41" t="s">
        <v>278</v>
      </c>
      <c r="C41" t="s">
        <v>279</v>
      </c>
      <c r="D41" t="s">
        <v>35</v>
      </c>
      <c r="E41" t="s">
        <v>28</v>
      </c>
      <c r="F41" t="s">
        <v>28</v>
      </c>
      <c r="H41" t="s">
        <v>280</v>
      </c>
      <c r="I41" s="3" t="s">
        <v>36</v>
      </c>
      <c r="J41" s="3" t="str">
        <f t="shared" si="1"/>
        <v>2019</v>
      </c>
      <c r="K41" s="3" t="s">
        <v>87</v>
      </c>
      <c r="L41" s="15" t="s">
        <v>281</v>
      </c>
      <c r="M41" s="15" t="s">
        <v>282</v>
      </c>
      <c r="N41" s="3" t="s">
        <v>283</v>
      </c>
      <c r="O41" s="2" t="s">
        <v>284</v>
      </c>
      <c r="P41" t="s">
        <v>285</v>
      </c>
      <c r="Q41" t="s">
        <v>286</v>
      </c>
      <c r="R41" t="s">
        <v>287</v>
      </c>
      <c r="S41" t="s">
        <v>288</v>
      </c>
      <c r="T41" t="s">
        <v>43</v>
      </c>
      <c r="U41">
        <v>1013175</v>
      </c>
      <c r="V41" t="str">
        <f t="shared" si="0"/>
        <v>09/26/2019</v>
      </c>
      <c r="W41" t="s">
        <v>44</v>
      </c>
      <c r="X41" t="s">
        <v>289</v>
      </c>
    </row>
    <row r="42" spans="1:24" x14ac:dyDescent="0.25">
      <c r="A42" t="s">
        <v>24</v>
      </c>
      <c r="B42" s="7" t="s">
        <v>278</v>
      </c>
      <c r="C42" s="7" t="s">
        <v>289</v>
      </c>
      <c r="D42" s="7" t="s">
        <v>35</v>
      </c>
      <c r="E42" s="7" t="s">
        <v>28</v>
      </c>
      <c r="F42" s="7" t="s">
        <v>28</v>
      </c>
      <c r="G42" s="7"/>
      <c r="H42" s="7" t="s">
        <v>280</v>
      </c>
      <c r="I42" s="13" t="s">
        <v>36</v>
      </c>
      <c r="J42" s="13" t="str">
        <f t="shared" si="1"/>
        <v>2019</v>
      </c>
      <c r="K42" s="3" t="s">
        <v>87</v>
      </c>
      <c r="L42" s="13" t="s">
        <v>37</v>
      </c>
      <c r="M42" s="13" t="s">
        <v>37</v>
      </c>
      <c r="N42" s="32" t="s">
        <v>290</v>
      </c>
      <c r="O42" s="14" t="s">
        <v>291</v>
      </c>
      <c r="P42" s="7" t="s">
        <v>292</v>
      </c>
      <c r="Q42" s="7" t="s">
        <v>286</v>
      </c>
      <c r="R42" s="7" t="s">
        <v>287</v>
      </c>
      <c r="S42" s="7" t="s">
        <v>293</v>
      </c>
      <c r="T42" s="7" t="s">
        <v>43</v>
      </c>
      <c r="U42" s="7">
        <v>1013176</v>
      </c>
      <c r="V42" s="7" t="str">
        <f t="shared" si="0"/>
        <v>09/26/2019</v>
      </c>
      <c r="W42" s="7" t="s">
        <v>44</v>
      </c>
      <c r="X42" s="7"/>
    </row>
    <row r="43" spans="1:24" x14ac:dyDescent="0.25">
      <c r="A43" t="s">
        <v>24</v>
      </c>
      <c r="B43" s="7" t="s">
        <v>278</v>
      </c>
      <c r="C43" s="7" t="s">
        <v>294</v>
      </c>
      <c r="D43" s="7" t="s">
        <v>35</v>
      </c>
      <c r="E43" s="7" t="s">
        <v>28</v>
      </c>
      <c r="F43" s="7" t="s">
        <v>28</v>
      </c>
      <c r="G43" s="7"/>
      <c r="H43" s="7" t="s">
        <v>280</v>
      </c>
      <c r="I43" s="13" t="s">
        <v>36</v>
      </c>
      <c r="J43" s="13" t="str">
        <f t="shared" si="1"/>
        <v>2019</v>
      </c>
      <c r="K43" s="3" t="s">
        <v>87</v>
      </c>
      <c r="L43" s="13" t="s">
        <v>37</v>
      </c>
      <c r="M43" s="13" t="s">
        <v>37</v>
      </c>
      <c r="N43" s="32" t="s">
        <v>290</v>
      </c>
      <c r="O43" s="14" t="s">
        <v>295</v>
      </c>
      <c r="P43" s="7" t="s">
        <v>296</v>
      </c>
      <c r="Q43" s="7" t="s">
        <v>286</v>
      </c>
      <c r="R43" s="7" t="s">
        <v>287</v>
      </c>
      <c r="S43" s="7" t="s">
        <v>297</v>
      </c>
      <c r="T43" s="7" t="s">
        <v>43</v>
      </c>
      <c r="U43" s="7">
        <v>1013177</v>
      </c>
      <c r="V43" s="7" t="str">
        <f t="shared" si="0"/>
        <v>09/26/2019</v>
      </c>
      <c r="W43" s="7" t="s">
        <v>44</v>
      </c>
      <c r="X43" s="7"/>
    </row>
    <row r="44" spans="1:24" x14ac:dyDescent="0.25">
      <c r="A44" t="s">
        <v>24</v>
      </c>
      <c r="B44" t="s">
        <v>278</v>
      </c>
      <c r="C44" t="s">
        <v>298</v>
      </c>
      <c r="D44" t="s">
        <v>35</v>
      </c>
      <c r="E44" t="s">
        <v>28</v>
      </c>
      <c r="F44" t="s">
        <v>28</v>
      </c>
      <c r="H44" t="s">
        <v>280</v>
      </c>
      <c r="I44" s="3" t="s">
        <v>36</v>
      </c>
      <c r="J44" s="3" t="str">
        <f t="shared" si="1"/>
        <v>2019</v>
      </c>
      <c r="K44" s="3" t="s">
        <v>87</v>
      </c>
      <c r="L44" s="3" t="s">
        <v>37</v>
      </c>
      <c r="M44" s="15" t="s">
        <v>282</v>
      </c>
      <c r="N44" s="32" t="s">
        <v>290</v>
      </c>
      <c r="O44" s="2" t="s">
        <v>299</v>
      </c>
      <c r="P44" t="s">
        <v>300</v>
      </c>
      <c r="Q44" t="s">
        <v>286</v>
      </c>
      <c r="R44" t="s">
        <v>287</v>
      </c>
      <c r="S44" t="s">
        <v>301</v>
      </c>
      <c r="T44" t="s">
        <v>43</v>
      </c>
      <c r="U44">
        <v>1013178</v>
      </c>
      <c r="V44" t="str">
        <f t="shared" si="0"/>
        <v>09/26/2019</v>
      </c>
      <c r="W44" t="s">
        <v>44</v>
      </c>
      <c r="X44" t="s">
        <v>302</v>
      </c>
    </row>
    <row r="45" spans="1:24" hidden="1" x14ac:dyDescent="0.25">
      <c r="A45" t="s">
        <v>24</v>
      </c>
      <c r="B45" t="s">
        <v>303</v>
      </c>
      <c r="C45" t="s">
        <v>304</v>
      </c>
      <c r="D45" t="s">
        <v>107</v>
      </c>
      <c r="E45" t="s">
        <v>26</v>
      </c>
      <c r="F45" t="s">
        <v>26</v>
      </c>
      <c r="G45" t="s">
        <v>37</v>
      </c>
      <c r="H45" t="s">
        <v>28</v>
      </c>
      <c r="I45" s="3" t="s">
        <v>36</v>
      </c>
      <c r="J45" s="3" t="str">
        <f t="shared" si="1"/>
        <v>2019</v>
      </c>
      <c r="K45" s="3"/>
      <c r="L45" s="3"/>
      <c r="M45" s="3"/>
      <c r="N45" s="3"/>
      <c r="O45" s="2" t="s">
        <v>305</v>
      </c>
      <c r="P45" t="s">
        <v>306</v>
      </c>
      <c r="Q45" t="s">
        <v>307</v>
      </c>
      <c r="R45" t="s">
        <v>308</v>
      </c>
      <c r="S45" t="s">
        <v>309</v>
      </c>
      <c r="T45" t="s">
        <v>43</v>
      </c>
      <c r="U45">
        <v>162491</v>
      </c>
      <c r="V45" t="str">
        <f t="shared" si="0"/>
        <v>09/26/2019</v>
      </c>
      <c r="W45" t="s">
        <v>44</v>
      </c>
      <c r="X45" t="s">
        <v>51</v>
      </c>
    </row>
    <row r="46" spans="1:24" x14ac:dyDescent="0.25">
      <c r="A46" t="s">
        <v>24</v>
      </c>
      <c r="B46" t="s">
        <v>310</v>
      </c>
      <c r="C46" t="s">
        <v>311</v>
      </c>
      <c r="D46" t="s">
        <v>35</v>
      </c>
      <c r="E46" t="s">
        <v>28</v>
      </c>
      <c r="F46" t="s">
        <v>28</v>
      </c>
      <c r="I46" s="3" t="s">
        <v>36</v>
      </c>
      <c r="J46" s="3" t="str">
        <f t="shared" si="1"/>
        <v>2019</v>
      </c>
      <c r="K46" s="3"/>
      <c r="L46" s="3" t="s">
        <v>37</v>
      </c>
      <c r="M46" s="16" t="s">
        <v>312</v>
      </c>
      <c r="N46" s="3"/>
      <c r="O46" s="2" t="s">
        <v>313</v>
      </c>
      <c r="P46" t="s">
        <v>314</v>
      </c>
      <c r="Q46" t="s">
        <v>315</v>
      </c>
      <c r="R46" t="s">
        <v>316</v>
      </c>
      <c r="S46" t="s">
        <v>317</v>
      </c>
      <c r="T46" t="s">
        <v>43</v>
      </c>
      <c r="U46">
        <v>86637</v>
      </c>
      <c r="V46" t="str">
        <f t="shared" si="0"/>
        <v>09/26/2019</v>
      </c>
      <c r="W46" t="s">
        <v>44</v>
      </c>
      <c r="X46" t="s">
        <v>318</v>
      </c>
    </row>
    <row r="47" spans="1:24" x14ac:dyDescent="0.25">
      <c r="A47" t="s">
        <v>24</v>
      </c>
      <c r="B47" s="7" t="s">
        <v>310</v>
      </c>
      <c r="C47" t="s">
        <v>319</v>
      </c>
      <c r="D47" t="s">
        <v>107</v>
      </c>
      <c r="E47" t="s">
        <v>28</v>
      </c>
      <c r="F47" t="s">
        <v>28</v>
      </c>
      <c r="I47" s="3" t="s">
        <v>36</v>
      </c>
      <c r="J47" s="3" t="str">
        <f t="shared" si="1"/>
        <v>2019</v>
      </c>
      <c r="K47" s="3"/>
      <c r="L47" s="3" t="s">
        <v>37</v>
      </c>
      <c r="M47" s="16" t="s">
        <v>320</v>
      </c>
      <c r="N47" s="3"/>
      <c r="O47" s="2" t="s">
        <v>321</v>
      </c>
      <c r="P47" t="s">
        <v>322</v>
      </c>
      <c r="Q47" t="s">
        <v>315</v>
      </c>
      <c r="R47" t="s">
        <v>316</v>
      </c>
      <c r="S47" t="s">
        <v>323</v>
      </c>
      <c r="T47" t="s">
        <v>43</v>
      </c>
      <c r="U47">
        <v>86635</v>
      </c>
      <c r="V47" t="str">
        <f t="shared" si="0"/>
        <v>09/26/2019</v>
      </c>
      <c r="W47" t="s">
        <v>44</v>
      </c>
    </row>
    <row r="48" spans="1:24" hidden="1" x14ac:dyDescent="0.25">
      <c r="A48" t="s">
        <v>24</v>
      </c>
      <c r="B48" t="s">
        <v>310</v>
      </c>
      <c r="C48" t="s">
        <v>324</v>
      </c>
      <c r="D48" t="s">
        <v>35</v>
      </c>
      <c r="E48" t="s">
        <v>26</v>
      </c>
      <c r="F48" t="s">
        <v>26</v>
      </c>
      <c r="G48" t="s">
        <v>27</v>
      </c>
      <c r="H48" t="s">
        <v>28</v>
      </c>
      <c r="I48" s="3" t="s">
        <v>36</v>
      </c>
      <c r="J48" s="3" t="str">
        <f t="shared" si="1"/>
        <v>2019</v>
      </c>
      <c r="K48" s="3"/>
      <c r="L48" s="3"/>
      <c r="M48" s="3"/>
      <c r="N48" s="3"/>
      <c r="O48" s="2" t="s">
        <v>325</v>
      </c>
      <c r="P48" t="s">
        <v>326</v>
      </c>
      <c r="Q48" t="s">
        <v>315</v>
      </c>
      <c r="R48" t="s">
        <v>316</v>
      </c>
      <c r="S48" t="s">
        <v>327</v>
      </c>
      <c r="T48" t="s">
        <v>43</v>
      </c>
      <c r="U48">
        <v>86636</v>
      </c>
      <c r="V48" t="str">
        <f t="shared" si="0"/>
        <v>09/26/2019</v>
      </c>
      <c r="W48" t="s">
        <v>44</v>
      </c>
      <c r="X48" t="s">
        <v>328</v>
      </c>
    </row>
    <row r="49" spans="1:24" x14ac:dyDescent="0.25">
      <c r="A49" t="s">
        <v>24</v>
      </c>
      <c r="B49" t="s">
        <v>329</v>
      </c>
      <c r="C49" t="s">
        <v>330</v>
      </c>
      <c r="D49" t="s">
        <v>35</v>
      </c>
      <c r="E49" t="s">
        <v>28</v>
      </c>
      <c r="F49" t="s">
        <v>28</v>
      </c>
      <c r="I49" s="3" t="s">
        <v>36</v>
      </c>
      <c r="J49" s="3" t="str">
        <f t="shared" si="1"/>
        <v>2019</v>
      </c>
      <c r="K49" s="3"/>
      <c r="L49" s="3" t="s">
        <v>37</v>
      </c>
      <c r="M49" s="16" t="s">
        <v>312</v>
      </c>
      <c r="N49" s="3"/>
      <c r="O49" s="2" t="s">
        <v>331</v>
      </c>
      <c r="P49" t="s">
        <v>332</v>
      </c>
      <c r="Q49" t="s">
        <v>333</v>
      </c>
      <c r="R49" t="s">
        <v>334</v>
      </c>
      <c r="S49" t="s">
        <v>335</v>
      </c>
      <c r="T49" t="s">
        <v>43</v>
      </c>
      <c r="U49">
        <v>512909</v>
      </c>
      <c r="V49" t="str">
        <f t="shared" si="0"/>
        <v>09/26/2019</v>
      </c>
      <c r="W49" t="s">
        <v>44</v>
      </c>
    </row>
    <row r="50" spans="1:24" x14ac:dyDescent="0.25">
      <c r="A50" t="s">
        <v>24</v>
      </c>
      <c r="B50" s="6" t="s">
        <v>329</v>
      </c>
      <c r="C50" s="6" t="s">
        <v>336</v>
      </c>
      <c r="D50" s="6" t="s">
        <v>35</v>
      </c>
      <c r="E50" s="6" t="s">
        <v>28</v>
      </c>
      <c r="F50" s="6" t="s">
        <v>28</v>
      </c>
      <c r="G50" s="7"/>
      <c r="H50" s="7"/>
      <c r="I50" s="13" t="s">
        <v>36</v>
      </c>
      <c r="J50" s="13" t="str">
        <f t="shared" si="1"/>
        <v>2019</v>
      </c>
      <c r="K50" s="13" t="s">
        <v>37</v>
      </c>
      <c r="L50" s="13" t="s">
        <v>37</v>
      </c>
      <c r="M50" s="10" t="s">
        <v>37</v>
      </c>
      <c r="N50" s="10"/>
      <c r="O50" s="11" t="s">
        <v>337</v>
      </c>
      <c r="P50" s="6" t="s">
        <v>338</v>
      </c>
      <c r="Q50" s="6" t="s">
        <v>333</v>
      </c>
      <c r="R50" s="6" t="s">
        <v>334</v>
      </c>
      <c r="S50" s="6" t="s">
        <v>339</v>
      </c>
      <c r="T50" s="6" t="s">
        <v>43</v>
      </c>
      <c r="U50" s="6">
        <v>512911</v>
      </c>
      <c r="V50" s="6" t="str">
        <f t="shared" si="0"/>
        <v>09/26/2019</v>
      </c>
      <c r="W50" s="6" t="s">
        <v>44</v>
      </c>
      <c r="X50" s="6"/>
    </row>
    <row r="51" spans="1:24" x14ac:dyDescent="0.25">
      <c r="A51" t="s">
        <v>24</v>
      </c>
      <c r="B51" s="6" t="s">
        <v>329</v>
      </c>
      <c r="C51" s="6" t="s">
        <v>340</v>
      </c>
      <c r="D51" s="6" t="s">
        <v>35</v>
      </c>
      <c r="E51" s="6" t="s">
        <v>28</v>
      </c>
      <c r="F51" s="6" t="s">
        <v>28</v>
      </c>
      <c r="G51" s="6"/>
      <c r="H51" s="6"/>
      <c r="I51" s="10" t="s">
        <v>36</v>
      </c>
      <c r="J51" s="10" t="str">
        <f t="shared" si="1"/>
        <v>2019</v>
      </c>
      <c r="K51" s="13" t="s">
        <v>37</v>
      </c>
      <c r="L51" s="13" t="s">
        <v>37</v>
      </c>
      <c r="M51" s="10" t="s">
        <v>37</v>
      </c>
      <c r="N51" s="10"/>
      <c r="O51" s="11" t="s">
        <v>341</v>
      </c>
      <c r="P51" s="6" t="s">
        <v>342</v>
      </c>
      <c r="Q51" s="6" t="s">
        <v>333</v>
      </c>
      <c r="R51" s="6" t="s">
        <v>334</v>
      </c>
      <c r="S51" s="6" t="s">
        <v>343</v>
      </c>
      <c r="T51" s="6" t="s">
        <v>43</v>
      </c>
      <c r="U51" s="6">
        <v>512912</v>
      </c>
      <c r="V51" s="6" t="str">
        <f t="shared" si="0"/>
        <v>09/26/2019</v>
      </c>
      <c r="W51" s="6" t="s">
        <v>44</v>
      </c>
      <c r="X51" s="6"/>
    </row>
    <row r="52" spans="1:24" x14ac:dyDescent="0.25">
      <c r="A52" t="s">
        <v>24</v>
      </c>
      <c r="B52" s="6" t="s">
        <v>329</v>
      </c>
      <c r="C52" s="6" t="s">
        <v>344</v>
      </c>
      <c r="D52" s="6" t="s">
        <v>35</v>
      </c>
      <c r="E52" s="6" t="s">
        <v>28</v>
      </c>
      <c r="F52" s="6" t="s">
        <v>28</v>
      </c>
      <c r="G52" s="6"/>
      <c r="H52" s="6"/>
      <c r="I52" s="10" t="s">
        <v>36</v>
      </c>
      <c r="J52" s="10" t="str">
        <f t="shared" si="1"/>
        <v>2019</v>
      </c>
      <c r="K52" s="13" t="s">
        <v>37</v>
      </c>
      <c r="L52" s="13" t="s">
        <v>37</v>
      </c>
      <c r="M52" s="10" t="s">
        <v>37</v>
      </c>
      <c r="N52" s="10"/>
      <c r="O52" s="11" t="s">
        <v>345</v>
      </c>
      <c r="P52" s="6" t="s">
        <v>346</v>
      </c>
      <c r="Q52" s="6" t="s">
        <v>333</v>
      </c>
      <c r="R52" s="6" t="s">
        <v>334</v>
      </c>
      <c r="S52" s="6" t="s">
        <v>347</v>
      </c>
      <c r="T52" s="6" t="s">
        <v>43</v>
      </c>
      <c r="U52" s="6">
        <v>512913</v>
      </c>
      <c r="V52" s="6" t="str">
        <f t="shared" si="0"/>
        <v>09/26/2019</v>
      </c>
      <c r="W52" s="6" t="s">
        <v>44</v>
      </c>
      <c r="X52" s="6"/>
    </row>
    <row r="53" spans="1:24" hidden="1" x14ac:dyDescent="0.25">
      <c r="A53" t="s">
        <v>24</v>
      </c>
      <c r="B53" t="s">
        <v>329</v>
      </c>
      <c r="C53" t="s">
        <v>348</v>
      </c>
      <c r="D53" t="s">
        <v>35</v>
      </c>
      <c r="E53" t="s">
        <v>26</v>
      </c>
      <c r="F53" t="s">
        <v>26</v>
      </c>
      <c r="G53" t="s">
        <v>27</v>
      </c>
      <c r="H53" t="s">
        <v>28</v>
      </c>
      <c r="I53" s="3" t="s">
        <v>36</v>
      </c>
      <c r="J53" s="3" t="str">
        <f t="shared" si="1"/>
        <v>2019</v>
      </c>
      <c r="K53" s="3"/>
      <c r="L53" s="3"/>
      <c r="M53" s="3"/>
      <c r="N53" s="3"/>
      <c r="O53" s="2" t="s">
        <v>349</v>
      </c>
      <c r="P53" t="s">
        <v>350</v>
      </c>
      <c r="Q53" t="s">
        <v>333</v>
      </c>
      <c r="R53" t="s">
        <v>334</v>
      </c>
      <c r="S53" t="s">
        <v>351</v>
      </c>
      <c r="T53" t="s">
        <v>43</v>
      </c>
      <c r="U53">
        <v>512908</v>
      </c>
      <c r="V53" t="str">
        <f t="shared" si="0"/>
        <v>09/26/2019</v>
      </c>
      <c r="W53" t="s">
        <v>44</v>
      </c>
      <c r="X53" t="s">
        <v>352</v>
      </c>
    </row>
    <row r="54" spans="1:24" hidden="1" x14ac:dyDescent="0.25">
      <c r="A54" t="s">
        <v>24</v>
      </c>
      <c r="B54" t="s">
        <v>329</v>
      </c>
      <c r="C54" t="s">
        <v>353</v>
      </c>
      <c r="D54" t="s">
        <v>35</v>
      </c>
      <c r="E54" t="s">
        <v>26</v>
      </c>
      <c r="F54" t="s">
        <v>26</v>
      </c>
      <c r="G54" t="s">
        <v>27</v>
      </c>
      <c r="H54" t="s">
        <v>28</v>
      </c>
      <c r="I54" s="3" t="s">
        <v>36</v>
      </c>
      <c r="J54" s="3" t="str">
        <f t="shared" si="1"/>
        <v>2019</v>
      </c>
      <c r="K54" s="3"/>
      <c r="L54" s="3"/>
      <c r="M54" s="3"/>
      <c r="N54" s="3"/>
      <c r="O54" s="2" t="s">
        <v>354</v>
      </c>
      <c r="P54" t="s">
        <v>355</v>
      </c>
      <c r="Q54" t="s">
        <v>333</v>
      </c>
      <c r="R54" t="s">
        <v>334</v>
      </c>
      <c r="S54" t="s">
        <v>356</v>
      </c>
      <c r="T54" t="s">
        <v>43</v>
      </c>
      <c r="U54">
        <v>512910</v>
      </c>
      <c r="V54" t="str">
        <f t="shared" si="0"/>
        <v>09/26/2019</v>
      </c>
      <c r="W54" t="s">
        <v>44</v>
      </c>
    </row>
    <row r="55" spans="1:24" hidden="1" x14ac:dyDescent="0.25">
      <c r="A55" t="s">
        <v>24</v>
      </c>
      <c r="B55" t="s">
        <v>329</v>
      </c>
      <c r="C55" t="s">
        <v>357</v>
      </c>
      <c r="D55" t="s">
        <v>35</v>
      </c>
      <c r="E55" t="s">
        <v>26</v>
      </c>
      <c r="F55" t="s">
        <v>26</v>
      </c>
      <c r="G55" t="s">
        <v>27</v>
      </c>
      <c r="H55" t="s">
        <v>28</v>
      </c>
      <c r="I55" s="3" t="s">
        <v>36</v>
      </c>
      <c r="J55" s="3" t="str">
        <f t="shared" si="1"/>
        <v>2019</v>
      </c>
      <c r="K55" s="3"/>
      <c r="L55" s="3"/>
      <c r="M55" s="3"/>
      <c r="N55" s="3"/>
      <c r="O55" s="2" t="s">
        <v>358</v>
      </c>
      <c r="P55" t="s">
        <v>359</v>
      </c>
      <c r="Q55" t="s">
        <v>333</v>
      </c>
      <c r="R55" t="s">
        <v>334</v>
      </c>
      <c r="S55" t="s">
        <v>360</v>
      </c>
      <c r="T55" t="s">
        <v>43</v>
      </c>
      <c r="U55">
        <v>512914</v>
      </c>
      <c r="V55" t="str">
        <f t="shared" si="0"/>
        <v>09/26/2019</v>
      </c>
      <c r="W55" t="s">
        <v>44</v>
      </c>
    </row>
    <row r="56" spans="1:24" hidden="1" x14ac:dyDescent="0.25">
      <c r="A56" t="s">
        <v>24</v>
      </c>
      <c r="B56" t="s">
        <v>329</v>
      </c>
      <c r="C56" t="s">
        <v>361</v>
      </c>
      <c r="D56" t="s">
        <v>35</v>
      </c>
      <c r="E56" t="s">
        <v>26</v>
      </c>
      <c r="F56" t="s">
        <v>26</v>
      </c>
      <c r="G56" t="s">
        <v>27</v>
      </c>
      <c r="H56" t="s">
        <v>28</v>
      </c>
      <c r="I56" s="3" t="s">
        <v>36</v>
      </c>
      <c r="J56" s="3" t="str">
        <f t="shared" si="1"/>
        <v>2019</v>
      </c>
      <c r="K56" s="3"/>
      <c r="L56" s="3"/>
      <c r="M56" s="3"/>
      <c r="N56" s="3"/>
      <c r="O56" s="2" t="s">
        <v>362</v>
      </c>
      <c r="P56" t="s">
        <v>363</v>
      </c>
      <c r="Q56" t="s">
        <v>333</v>
      </c>
      <c r="R56" t="s">
        <v>334</v>
      </c>
      <c r="S56" t="s">
        <v>364</v>
      </c>
      <c r="T56" t="s">
        <v>43</v>
      </c>
      <c r="U56">
        <v>512915</v>
      </c>
      <c r="V56" t="str">
        <f t="shared" si="0"/>
        <v>09/26/2019</v>
      </c>
      <c r="W56" t="s">
        <v>44</v>
      </c>
    </row>
    <row r="57" spans="1:24" hidden="1" x14ac:dyDescent="0.25">
      <c r="A57" t="s">
        <v>24</v>
      </c>
      <c r="B57" t="s">
        <v>365</v>
      </c>
      <c r="C57" t="s">
        <v>366</v>
      </c>
      <c r="D57" t="s">
        <v>107</v>
      </c>
      <c r="E57" t="s">
        <v>26</v>
      </c>
      <c r="F57" t="s">
        <v>26</v>
      </c>
      <c r="G57" t="s">
        <v>27</v>
      </c>
      <c r="H57" t="s">
        <v>28</v>
      </c>
      <c r="I57" s="3" t="s">
        <v>367</v>
      </c>
      <c r="J57" s="3" t="str">
        <f t="shared" si="1"/>
        <v>2024</v>
      </c>
      <c r="K57" s="3" t="s">
        <v>368</v>
      </c>
      <c r="L57" s="3"/>
      <c r="M57" s="3"/>
      <c r="N57" s="3"/>
      <c r="O57" s="2" t="s">
        <v>369</v>
      </c>
      <c r="P57" t="s">
        <v>370</v>
      </c>
      <c r="Q57" t="s">
        <v>371</v>
      </c>
      <c r="R57" t="s">
        <v>372</v>
      </c>
      <c r="S57" t="s">
        <v>373</v>
      </c>
      <c r="T57" t="s">
        <v>43</v>
      </c>
      <c r="U57">
        <v>202</v>
      </c>
      <c r="V57" t="str">
        <f t="shared" si="0"/>
        <v>04/16/2024</v>
      </c>
      <c r="W57" t="s">
        <v>44</v>
      </c>
      <c r="X57" t="s">
        <v>374</v>
      </c>
    </row>
    <row r="58" spans="1:24" hidden="1" x14ac:dyDescent="0.25">
      <c r="A58" t="s">
        <v>24</v>
      </c>
      <c r="B58" t="s">
        <v>365</v>
      </c>
      <c r="C58" t="s">
        <v>375</v>
      </c>
      <c r="D58" t="s">
        <v>107</v>
      </c>
      <c r="E58" t="s">
        <v>26</v>
      </c>
      <c r="F58" t="s">
        <v>26</v>
      </c>
      <c r="G58" t="s">
        <v>27</v>
      </c>
      <c r="H58" t="s">
        <v>28</v>
      </c>
      <c r="I58" s="3" t="s">
        <v>367</v>
      </c>
      <c r="J58" s="3" t="str">
        <f t="shared" si="1"/>
        <v>2024</v>
      </c>
      <c r="K58" s="3" t="s">
        <v>368</v>
      </c>
      <c r="L58" s="3"/>
      <c r="M58" s="3"/>
      <c r="N58" s="3"/>
      <c r="O58" s="2" t="s">
        <v>376</v>
      </c>
      <c r="P58" t="s">
        <v>377</v>
      </c>
      <c r="Q58" t="s">
        <v>371</v>
      </c>
      <c r="R58" t="s">
        <v>372</v>
      </c>
      <c r="S58" t="s">
        <v>378</v>
      </c>
      <c r="T58" t="s">
        <v>43</v>
      </c>
      <c r="U58">
        <v>157</v>
      </c>
      <c r="V58" t="str">
        <f t="shared" si="0"/>
        <v>04/16/2024</v>
      </c>
      <c r="W58" t="s">
        <v>44</v>
      </c>
    </row>
    <row r="59" spans="1:24" hidden="1" x14ac:dyDescent="0.25">
      <c r="A59" t="s">
        <v>24</v>
      </c>
      <c r="B59" t="s">
        <v>365</v>
      </c>
      <c r="C59" t="s">
        <v>379</v>
      </c>
      <c r="D59" t="s">
        <v>107</v>
      </c>
      <c r="E59" t="s">
        <v>26</v>
      </c>
      <c r="F59" t="s">
        <v>26</v>
      </c>
      <c r="G59" t="s">
        <v>27</v>
      </c>
      <c r="H59" t="s">
        <v>28</v>
      </c>
      <c r="I59" s="3" t="s">
        <v>367</v>
      </c>
      <c r="J59" s="3" t="str">
        <f t="shared" si="1"/>
        <v>2024</v>
      </c>
      <c r="K59" s="3" t="s">
        <v>368</v>
      </c>
      <c r="L59" s="3"/>
      <c r="M59" s="3"/>
      <c r="N59" s="3"/>
      <c r="O59" s="2" t="s">
        <v>380</v>
      </c>
      <c r="P59" t="s">
        <v>381</v>
      </c>
      <c r="Q59" t="s">
        <v>371</v>
      </c>
      <c r="R59" t="s">
        <v>372</v>
      </c>
      <c r="S59" t="s">
        <v>382</v>
      </c>
      <c r="T59" t="s">
        <v>43</v>
      </c>
      <c r="U59">
        <v>193</v>
      </c>
      <c r="V59" t="str">
        <f t="shared" si="0"/>
        <v>04/16/2024</v>
      </c>
      <c r="W59" t="s">
        <v>44</v>
      </c>
      <c r="X59" t="s">
        <v>383</v>
      </c>
    </row>
    <row r="60" spans="1:24" hidden="1" x14ac:dyDescent="0.25">
      <c r="A60" t="s">
        <v>24</v>
      </c>
      <c r="B60" t="s">
        <v>365</v>
      </c>
      <c r="C60" t="s">
        <v>384</v>
      </c>
      <c r="D60" t="s">
        <v>107</v>
      </c>
      <c r="E60" t="s">
        <v>26</v>
      </c>
      <c r="F60" t="s">
        <v>26</v>
      </c>
      <c r="G60" t="s">
        <v>27</v>
      </c>
      <c r="H60" t="s">
        <v>28</v>
      </c>
      <c r="I60" s="3" t="s">
        <v>367</v>
      </c>
      <c r="J60" s="3" t="str">
        <f t="shared" si="1"/>
        <v>2024</v>
      </c>
      <c r="K60" s="3" t="s">
        <v>368</v>
      </c>
      <c r="L60" s="3"/>
      <c r="M60" s="3"/>
      <c r="N60" s="3"/>
      <c r="O60" s="2" t="s">
        <v>385</v>
      </c>
      <c r="P60" t="s">
        <v>386</v>
      </c>
      <c r="Q60" t="s">
        <v>371</v>
      </c>
      <c r="R60" t="s">
        <v>372</v>
      </c>
      <c r="S60" t="s">
        <v>387</v>
      </c>
      <c r="T60" t="s">
        <v>43</v>
      </c>
      <c r="U60">
        <v>166</v>
      </c>
      <c r="V60" t="str">
        <f t="shared" si="0"/>
        <v>04/16/2024</v>
      </c>
      <c r="W60" t="s">
        <v>44</v>
      </c>
    </row>
    <row r="61" spans="1:24" hidden="1" x14ac:dyDescent="0.25">
      <c r="A61" t="s">
        <v>24</v>
      </c>
      <c r="B61" t="s">
        <v>365</v>
      </c>
      <c r="C61" t="s">
        <v>388</v>
      </c>
      <c r="D61" t="s">
        <v>107</v>
      </c>
      <c r="E61" t="s">
        <v>26</v>
      </c>
      <c r="F61" t="s">
        <v>26</v>
      </c>
      <c r="G61" t="s">
        <v>27</v>
      </c>
      <c r="H61" t="s">
        <v>28</v>
      </c>
      <c r="I61" s="3" t="s">
        <v>389</v>
      </c>
      <c r="J61" s="3" t="str">
        <f t="shared" si="1"/>
        <v>2023</v>
      </c>
      <c r="K61" s="3" t="s">
        <v>390</v>
      </c>
      <c r="L61" s="3"/>
      <c r="M61" s="3"/>
      <c r="N61" s="3"/>
      <c r="O61" s="2" t="s">
        <v>391</v>
      </c>
      <c r="P61" t="s">
        <v>392</v>
      </c>
      <c r="Q61" t="s">
        <v>371</v>
      </c>
      <c r="R61" t="s">
        <v>372</v>
      </c>
      <c r="S61" t="s">
        <v>393</v>
      </c>
      <c r="T61" t="s">
        <v>43</v>
      </c>
      <c r="U61">
        <v>32</v>
      </c>
      <c r="V61" t="str">
        <f t="shared" si="0"/>
        <v>03/16/2023</v>
      </c>
      <c r="W61" t="s">
        <v>44</v>
      </c>
      <c r="X61" t="s">
        <v>394</v>
      </c>
    </row>
    <row r="62" spans="1:24" hidden="1" x14ac:dyDescent="0.25">
      <c r="A62" t="s">
        <v>24</v>
      </c>
      <c r="B62" t="s">
        <v>365</v>
      </c>
      <c r="C62" t="s">
        <v>395</v>
      </c>
      <c r="D62" t="s">
        <v>107</v>
      </c>
      <c r="E62" t="s">
        <v>26</v>
      </c>
      <c r="F62" t="s">
        <v>26</v>
      </c>
      <c r="G62" t="s">
        <v>27</v>
      </c>
      <c r="H62" t="s">
        <v>28</v>
      </c>
      <c r="I62" s="3" t="s">
        <v>396</v>
      </c>
      <c r="J62" s="3" t="str">
        <f t="shared" si="1"/>
        <v>2023</v>
      </c>
      <c r="K62" s="3" t="s">
        <v>368</v>
      </c>
      <c r="L62" s="3"/>
      <c r="M62" s="3"/>
      <c r="N62" s="3"/>
      <c r="O62" s="2" t="s">
        <v>397</v>
      </c>
      <c r="P62" t="s">
        <v>398</v>
      </c>
      <c r="Q62" t="s">
        <v>371</v>
      </c>
      <c r="R62" t="s">
        <v>372</v>
      </c>
      <c r="S62" t="s">
        <v>399</v>
      </c>
      <c r="T62" t="s">
        <v>43</v>
      </c>
      <c r="U62">
        <v>31</v>
      </c>
      <c r="V62" t="str">
        <f t="shared" si="0"/>
        <v>02/14/2023</v>
      </c>
      <c r="W62" t="s">
        <v>44</v>
      </c>
    </row>
    <row r="63" spans="1:24" hidden="1" x14ac:dyDescent="0.25">
      <c r="A63" t="s">
        <v>24</v>
      </c>
      <c r="B63" t="s">
        <v>365</v>
      </c>
      <c r="C63" t="s">
        <v>400</v>
      </c>
      <c r="D63" t="s">
        <v>107</v>
      </c>
      <c r="E63" t="s">
        <v>26</v>
      </c>
      <c r="F63" t="s">
        <v>26</v>
      </c>
      <c r="G63" t="s">
        <v>27</v>
      </c>
      <c r="H63" t="s">
        <v>28</v>
      </c>
      <c r="I63" s="3" t="s">
        <v>401</v>
      </c>
      <c r="J63" s="3" t="str">
        <f t="shared" si="1"/>
        <v>2021</v>
      </c>
      <c r="K63" s="3" t="s">
        <v>402</v>
      </c>
      <c r="L63" s="3"/>
      <c r="M63" s="3"/>
      <c r="N63" s="3"/>
      <c r="O63" s="2" t="s">
        <v>403</v>
      </c>
      <c r="P63" t="s">
        <v>404</v>
      </c>
      <c r="Q63" t="s">
        <v>371</v>
      </c>
      <c r="R63" t="s">
        <v>372</v>
      </c>
      <c r="S63" t="s">
        <v>405</v>
      </c>
      <c r="T63" t="s">
        <v>43</v>
      </c>
      <c r="U63">
        <v>10</v>
      </c>
      <c r="V63" t="str">
        <f t="shared" si="0"/>
        <v>02/17/2021</v>
      </c>
      <c r="W63" t="s">
        <v>44</v>
      </c>
    </row>
    <row r="64" spans="1:24" x14ac:dyDescent="0.25">
      <c r="A64" t="s">
        <v>24</v>
      </c>
      <c r="B64" t="s">
        <v>365</v>
      </c>
      <c r="C64" t="s">
        <v>406</v>
      </c>
      <c r="D64" t="s">
        <v>107</v>
      </c>
      <c r="E64" t="s">
        <v>26</v>
      </c>
      <c r="F64" t="s">
        <v>28</v>
      </c>
      <c r="I64" s="3" t="s">
        <v>407</v>
      </c>
      <c r="J64" s="3" t="str">
        <f t="shared" si="1"/>
        <v>2025</v>
      </c>
      <c r="K64" s="3" t="s">
        <v>408</v>
      </c>
      <c r="L64" s="15" t="s">
        <v>409</v>
      </c>
      <c r="M64" s="16" t="s">
        <v>410</v>
      </c>
      <c r="N64" s="3" t="s">
        <v>411</v>
      </c>
      <c r="O64" s="2" t="s">
        <v>412</v>
      </c>
      <c r="P64" t="s">
        <v>413</v>
      </c>
      <c r="Q64" t="s">
        <v>371</v>
      </c>
      <c r="R64" t="s">
        <v>372</v>
      </c>
      <c r="S64" t="s">
        <v>414</v>
      </c>
      <c r="T64" t="s">
        <v>43</v>
      </c>
      <c r="U64">
        <v>241</v>
      </c>
      <c r="V64" t="str">
        <f t="shared" si="0"/>
        <v>02/12/2025</v>
      </c>
      <c r="W64" t="s">
        <v>44</v>
      </c>
    </row>
    <row r="65" spans="1:24" x14ac:dyDescent="0.25">
      <c r="A65" t="s">
        <v>24</v>
      </c>
      <c r="B65" t="s">
        <v>365</v>
      </c>
      <c r="C65" t="s">
        <v>415</v>
      </c>
      <c r="D65" t="s">
        <v>107</v>
      </c>
      <c r="E65" t="s">
        <v>26</v>
      </c>
      <c r="F65" t="s">
        <v>28</v>
      </c>
      <c r="I65" s="3" t="s">
        <v>416</v>
      </c>
      <c r="J65" s="3" t="str">
        <f t="shared" si="1"/>
        <v>2025</v>
      </c>
      <c r="K65" s="3" t="s">
        <v>417</v>
      </c>
      <c r="L65" s="15" t="s">
        <v>418</v>
      </c>
      <c r="M65" s="16" t="s">
        <v>419</v>
      </c>
      <c r="N65" s="3" t="s">
        <v>411</v>
      </c>
      <c r="O65" s="2" t="s">
        <v>420</v>
      </c>
      <c r="P65" t="s">
        <v>421</v>
      </c>
      <c r="Q65" t="s">
        <v>371</v>
      </c>
      <c r="R65" t="s">
        <v>372</v>
      </c>
      <c r="S65" t="s">
        <v>422</v>
      </c>
      <c r="T65" t="s">
        <v>43</v>
      </c>
      <c r="U65">
        <v>252</v>
      </c>
      <c r="V65" t="str">
        <f t="shared" si="0"/>
        <v>04/10/2025</v>
      </c>
      <c r="W65" t="s">
        <v>44</v>
      </c>
      <c r="X65" t="s">
        <v>423</v>
      </c>
    </row>
    <row r="66" spans="1:24" x14ac:dyDescent="0.25">
      <c r="A66" t="s">
        <v>24</v>
      </c>
      <c r="B66" t="s">
        <v>365</v>
      </c>
      <c r="C66" t="s">
        <v>424</v>
      </c>
      <c r="D66" t="s">
        <v>107</v>
      </c>
      <c r="E66" t="s">
        <v>26</v>
      </c>
      <c r="F66" t="s">
        <v>28</v>
      </c>
      <c r="I66" s="3" t="s">
        <v>425</v>
      </c>
      <c r="J66" s="3" t="str">
        <f t="shared" si="1"/>
        <v>2025</v>
      </c>
      <c r="K66" s="3" t="s">
        <v>408</v>
      </c>
      <c r="L66" s="15" t="s">
        <v>426</v>
      </c>
      <c r="M66" s="16" t="s">
        <v>419</v>
      </c>
      <c r="N66" s="3" t="s">
        <v>411</v>
      </c>
      <c r="O66" s="2" t="s">
        <v>427</v>
      </c>
      <c r="P66" t="s">
        <v>428</v>
      </c>
      <c r="Q66" t="s">
        <v>371</v>
      </c>
      <c r="R66" t="s">
        <v>372</v>
      </c>
      <c r="S66" t="s">
        <v>429</v>
      </c>
      <c r="T66" t="s">
        <v>43</v>
      </c>
      <c r="U66">
        <v>243</v>
      </c>
      <c r="V66" t="str">
        <f t="shared" ref="V66:V128" si="2">TEXT(DATEVALUE(LEFT(O66,10)), "mm/dd/yyyy")</f>
        <v>02/20/2025</v>
      </c>
      <c r="W66" t="s">
        <v>44</v>
      </c>
      <c r="X66" t="s">
        <v>430</v>
      </c>
    </row>
    <row r="67" spans="1:24" x14ac:dyDescent="0.25">
      <c r="A67" t="s">
        <v>24</v>
      </c>
      <c r="B67" t="s">
        <v>365</v>
      </c>
      <c r="C67" t="s">
        <v>431</v>
      </c>
      <c r="D67" t="s">
        <v>107</v>
      </c>
      <c r="E67" t="s">
        <v>26</v>
      </c>
      <c r="F67" t="s">
        <v>28</v>
      </c>
      <c r="I67" s="3" t="s">
        <v>367</v>
      </c>
      <c r="J67" s="3" t="str">
        <f t="shared" ref="J67:J129" si="3">RIGHT(I67,4)</f>
        <v>2024</v>
      </c>
      <c r="K67" s="3" t="s">
        <v>408</v>
      </c>
      <c r="L67" s="3" t="s">
        <v>37</v>
      </c>
      <c r="M67" s="16" t="s">
        <v>432</v>
      </c>
      <c r="N67" s="3" t="s">
        <v>411</v>
      </c>
      <c r="O67" s="2" t="s">
        <v>433</v>
      </c>
      <c r="P67" t="s">
        <v>434</v>
      </c>
      <c r="Q67" t="s">
        <v>371</v>
      </c>
      <c r="R67" t="s">
        <v>372</v>
      </c>
      <c r="S67" t="s">
        <v>435</v>
      </c>
      <c r="T67" t="s">
        <v>43</v>
      </c>
      <c r="U67">
        <v>175</v>
      </c>
      <c r="V67" t="str">
        <f t="shared" si="2"/>
        <v>04/16/2024</v>
      </c>
      <c r="W67" t="s">
        <v>44</v>
      </c>
    </row>
    <row r="68" spans="1:24" x14ac:dyDescent="0.25">
      <c r="A68" t="s">
        <v>24</v>
      </c>
      <c r="B68" t="s">
        <v>365</v>
      </c>
      <c r="C68" t="s">
        <v>436</v>
      </c>
      <c r="D68" t="s">
        <v>107</v>
      </c>
      <c r="E68" t="s">
        <v>26</v>
      </c>
      <c r="F68" t="s">
        <v>28</v>
      </c>
      <c r="I68" s="3" t="s">
        <v>437</v>
      </c>
      <c r="J68" s="3" t="str">
        <f t="shared" si="3"/>
        <v>2024</v>
      </c>
      <c r="K68" s="3" t="s">
        <v>408</v>
      </c>
      <c r="L68" s="3" t="s">
        <v>37</v>
      </c>
      <c r="M68" s="16" t="s">
        <v>438</v>
      </c>
      <c r="N68" s="3" t="s">
        <v>411</v>
      </c>
      <c r="O68" s="2" t="s">
        <v>439</v>
      </c>
      <c r="P68" t="s">
        <v>440</v>
      </c>
      <c r="Q68" t="s">
        <v>371</v>
      </c>
      <c r="R68" t="s">
        <v>372</v>
      </c>
      <c r="S68" t="s">
        <v>441</v>
      </c>
      <c r="T68" t="s">
        <v>43</v>
      </c>
      <c r="U68">
        <v>232</v>
      </c>
      <c r="V68" t="str">
        <f t="shared" si="2"/>
        <v>10/22/2024</v>
      </c>
      <c r="W68" t="s">
        <v>44</v>
      </c>
    </row>
    <row r="69" spans="1:24" x14ac:dyDescent="0.25">
      <c r="A69" t="s">
        <v>24</v>
      </c>
      <c r="B69" t="s">
        <v>365</v>
      </c>
      <c r="C69" t="s">
        <v>442</v>
      </c>
      <c r="D69" t="s">
        <v>107</v>
      </c>
      <c r="E69" t="s">
        <v>26</v>
      </c>
      <c r="F69" t="s">
        <v>28</v>
      </c>
      <c r="I69" s="3" t="s">
        <v>443</v>
      </c>
      <c r="J69" s="3" t="str">
        <f t="shared" si="3"/>
        <v>2024</v>
      </c>
      <c r="K69" s="3" t="s">
        <v>408</v>
      </c>
      <c r="L69" s="3" t="s">
        <v>37</v>
      </c>
      <c r="M69" s="16" t="s">
        <v>409</v>
      </c>
      <c r="N69" s="3" t="s">
        <v>411</v>
      </c>
      <c r="O69" s="2" t="s">
        <v>444</v>
      </c>
      <c r="P69" t="s">
        <v>445</v>
      </c>
      <c r="Q69" t="s">
        <v>371</v>
      </c>
      <c r="R69" t="s">
        <v>372</v>
      </c>
      <c r="S69" t="s">
        <v>446</v>
      </c>
      <c r="T69" t="s">
        <v>43</v>
      </c>
      <c r="U69">
        <v>237</v>
      </c>
      <c r="V69" t="str">
        <f t="shared" si="2"/>
        <v>11/13/2024</v>
      </c>
      <c r="W69" t="s">
        <v>44</v>
      </c>
      <c r="X69" t="s">
        <v>447</v>
      </c>
    </row>
    <row r="70" spans="1:24" x14ac:dyDescent="0.25">
      <c r="A70" t="s">
        <v>24</v>
      </c>
      <c r="B70" t="s">
        <v>365</v>
      </c>
      <c r="C70" t="s">
        <v>448</v>
      </c>
      <c r="D70" t="s">
        <v>107</v>
      </c>
      <c r="E70" t="s">
        <v>26</v>
      </c>
      <c r="F70" t="s">
        <v>28</v>
      </c>
      <c r="I70" s="3" t="s">
        <v>449</v>
      </c>
      <c r="J70" s="3" t="str">
        <f t="shared" si="3"/>
        <v>2024</v>
      </c>
      <c r="K70" s="3" t="s">
        <v>408</v>
      </c>
      <c r="L70" s="15" t="s">
        <v>450</v>
      </c>
      <c r="M70" s="16" t="s">
        <v>432</v>
      </c>
      <c r="N70" s="3" t="s">
        <v>411</v>
      </c>
      <c r="O70" s="2" t="s">
        <v>451</v>
      </c>
      <c r="P70" t="s">
        <v>452</v>
      </c>
      <c r="Q70" t="s">
        <v>371</v>
      </c>
      <c r="R70" t="s">
        <v>372</v>
      </c>
      <c r="S70" t="s">
        <v>453</v>
      </c>
      <c r="T70" t="s">
        <v>43</v>
      </c>
      <c r="U70">
        <v>215</v>
      </c>
      <c r="V70" t="str">
        <f t="shared" si="2"/>
        <v>07/30/2024</v>
      </c>
      <c r="W70" t="s">
        <v>44</v>
      </c>
    </row>
    <row r="71" spans="1:24" x14ac:dyDescent="0.25">
      <c r="A71" s="17" t="s">
        <v>24</v>
      </c>
      <c r="B71" t="s">
        <v>365</v>
      </c>
      <c r="C71" t="s">
        <v>454</v>
      </c>
      <c r="D71" t="s">
        <v>107</v>
      </c>
      <c r="E71" t="s">
        <v>26</v>
      </c>
      <c r="F71" t="s">
        <v>28</v>
      </c>
      <c r="I71" s="3" t="s">
        <v>455</v>
      </c>
      <c r="J71" s="3" t="str">
        <f t="shared" si="3"/>
        <v>2024</v>
      </c>
      <c r="K71" s="3" t="s">
        <v>408</v>
      </c>
      <c r="L71" s="3" t="s">
        <v>37</v>
      </c>
      <c r="M71" s="16" t="s">
        <v>432</v>
      </c>
      <c r="N71" s="3" t="s">
        <v>411</v>
      </c>
      <c r="O71" s="2" t="s">
        <v>456</v>
      </c>
      <c r="P71" t="s">
        <v>457</v>
      </c>
      <c r="Q71" t="s">
        <v>371</v>
      </c>
      <c r="R71" t="s">
        <v>372</v>
      </c>
      <c r="S71" t="s">
        <v>458</v>
      </c>
      <c r="T71" t="s">
        <v>43</v>
      </c>
      <c r="U71">
        <v>236</v>
      </c>
      <c r="V71" t="str">
        <f t="shared" si="2"/>
        <v>11/12/2024</v>
      </c>
      <c r="W71" t="s">
        <v>44</v>
      </c>
      <c r="X71" t="s">
        <v>459</v>
      </c>
    </row>
    <row r="72" spans="1:24" x14ac:dyDescent="0.25">
      <c r="A72" t="s">
        <v>24</v>
      </c>
      <c r="B72" t="s">
        <v>460</v>
      </c>
      <c r="C72" s="6" t="s">
        <v>461</v>
      </c>
      <c r="D72" t="s">
        <v>107</v>
      </c>
      <c r="E72" t="s">
        <v>28</v>
      </c>
      <c r="F72" t="s">
        <v>28</v>
      </c>
      <c r="G72" t="s">
        <v>27</v>
      </c>
      <c r="H72" t="s">
        <v>28</v>
      </c>
      <c r="I72" s="3" t="s">
        <v>462</v>
      </c>
      <c r="J72" s="3" t="str">
        <f t="shared" si="3"/>
        <v>2025</v>
      </c>
      <c r="K72" s="3" t="s">
        <v>463</v>
      </c>
      <c r="L72" s="3"/>
      <c r="M72" s="3"/>
      <c r="N72" s="3" t="s">
        <v>464</v>
      </c>
      <c r="O72" s="2" t="s">
        <v>465</v>
      </c>
      <c r="P72" t="s">
        <v>466</v>
      </c>
      <c r="Q72" t="s">
        <v>467</v>
      </c>
      <c r="R72" t="s">
        <v>468</v>
      </c>
      <c r="S72" t="s">
        <v>469</v>
      </c>
      <c r="T72" t="s">
        <v>43</v>
      </c>
      <c r="U72">
        <v>601</v>
      </c>
      <c r="V72" t="str">
        <f t="shared" si="2"/>
        <v>03/06/2025</v>
      </c>
      <c r="W72" t="s">
        <v>44</v>
      </c>
    </row>
    <row r="73" spans="1:24" hidden="1" x14ac:dyDescent="0.25">
      <c r="A73" t="s">
        <v>24</v>
      </c>
      <c r="B73" t="s">
        <v>460</v>
      </c>
      <c r="C73" t="s">
        <v>470</v>
      </c>
      <c r="D73" t="s">
        <v>107</v>
      </c>
      <c r="E73" t="s">
        <v>26</v>
      </c>
      <c r="F73" t="s">
        <v>26</v>
      </c>
      <c r="G73" t="s">
        <v>27</v>
      </c>
      <c r="H73" t="s">
        <v>28</v>
      </c>
      <c r="I73" s="3" t="s">
        <v>471</v>
      </c>
      <c r="J73" s="3" t="str">
        <f t="shared" si="3"/>
        <v>2025</v>
      </c>
      <c r="K73" s="3" t="s">
        <v>463</v>
      </c>
      <c r="L73" s="3"/>
      <c r="M73" s="3"/>
      <c r="N73" s="3" t="s">
        <v>464</v>
      </c>
      <c r="O73" s="2" t="s">
        <v>472</v>
      </c>
      <c r="P73" t="s">
        <v>473</v>
      </c>
      <c r="Q73" t="s">
        <v>467</v>
      </c>
      <c r="R73" t="s">
        <v>468</v>
      </c>
      <c r="S73" t="s">
        <v>474</v>
      </c>
      <c r="T73" t="s">
        <v>43</v>
      </c>
      <c r="U73">
        <v>599</v>
      </c>
      <c r="V73" t="str">
        <f t="shared" si="2"/>
        <v>02/13/2025</v>
      </c>
      <c r="W73" t="s">
        <v>44</v>
      </c>
    </row>
    <row r="74" spans="1:24" hidden="1" x14ac:dyDescent="0.25">
      <c r="A74" t="s">
        <v>24</v>
      </c>
      <c r="B74" t="s">
        <v>460</v>
      </c>
      <c r="C74" t="s">
        <v>475</v>
      </c>
      <c r="D74" t="s">
        <v>107</v>
      </c>
      <c r="E74" t="s">
        <v>26</v>
      </c>
      <c r="F74" t="s">
        <v>26</v>
      </c>
      <c r="G74" t="s">
        <v>27</v>
      </c>
      <c r="H74" t="s">
        <v>28</v>
      </c>
      <c r="I74" s="3" t="s">
        <v>476</v>
      </c>
      <c r="J74" s="3" t="str">
        <f t="shared" si="3"/>
        <v>2024</v>
      </c>
      <c r="K74" s="3" t="s">
        <v>463</v>
      </c>
      <c r="L74" s="3"/>
      <c r="M74" s="3"/>
      <c r="N74" s="3" t="s">
        <v>464</v>
      </c>
      <c r="O74" s="2" t="s">
        <v>477</v>
      </c>
      <c r="P74" t="s">
        <v>478</v>
      </c>
      <c r="Q74" t="s">
        <v>467</v>
      </c>
      <c r="R74" t="s">
        <v>468</v>
      </c>
      <c r="S74" t="s">
        <v>479</v>
      </c>
      <c r="T74" t="s">
        <v>43</v>
      </c>
      <c r="U74">
        <v>531</v>
      </c>
      <c r="V74" t="str">
        <f t="shared" si="2"/>
        <v>10/28/2024</v>
      </c>
      <c r="W74" t="s">
        <v>44</v>
      </c>
      <c r="X74" t="s">
        <v>480</v>
      </c>
    </row>
    <row r="75" spans="1:24" hidden="1" x14ac:dyDescent="0.25">
      <c r="A75" t="s">
        <v>24</v>
      </c>
      <c r="B75" t="s">
        <v>460</v>
      </c>
      <c r="C75" t="s">
        <v>481</v>
      </c>
      <c r="D75" t="s">
        <v>107</v>
      </c>
      <c r="E75" t="s">
        <v>26</v>
      </c>
      <c r="F75" t="s">
        <v>26</v>
      </c>
      <c r="G75" t="s">
        <v>27</v>
      </c>
      <c r="H75" t="s">
        <v>28</v>
      </c>
      <c r="I75" s="3" t="s">
        <v>482</v>
      </c>
      <c r="J75" s="3" t="str">
        <f t="shared" si="3"/>
        <v>2024</v>
      </c>
      <c r="K75" s="3" t="s">
        <v>463</v>
      </c>
      <c r="L75" s="3"/>
      <c r="M75" s="3"/>
      <c r="N75" s="3" t="s">
        <v>464</v>
      </c>
      <c r="O75" s="2" t="s">
        <v>483</v>
      </c>
      <c r="P75" t="s">
        <v>484</v>
      </c>
      <c r="Q75" t="s">
        <v>467</v>
      </c>
      <c r="R75" t="s">
        <v>468</v>
      </c>
      <c r="S75" t="s">
        <v>485</v>
      </c>
      <c r="T75" t="s">
        <v>43</v>
      </c>
      <c r="U75">
        <v>562</v>
      </c>
      <c r="V75" t="str">
        <f t="shared" si="2"/>
        <v>11/11/2024</v>
      </c>
      <c r="W75" t="s">
        <v>44</v>
      </c>
      <c r="X75" t="s">
        <v>486</v>
      </c>
    </row>
    <row r="76" spans="1:24" x14ac:dyDescent="0.25">
      <c r="A76" t="s">
        <v>24</v>
      </c>
      <c r="B76" t="s">
        <v>460</v>
      </c>
      <c r="C76" s="6" t="s">
        <v>487</v>
      </c>
      <c r="D76" t="s">
        <v>107</v>
      </c>
      <c r="E76" t="s">
        <v>28</v>
      </c>
      <c r="F76" t="s">
        <v>28</v>
      </c>
      <c r="G76" t="s">
        <v>27</v>
      </c>
      <c r="H76" t="s">
        <v>28</v>
      </c>
      <c r="I76" s="3" t="s">
        <v>488</v>
      </c>
      <c r="J76" s="3" t="str">
        <f t="shared" si="3"/>
        <v>2023</v>
      </c>
      <c r="K76" s="3" t="s">
        <v>463</v>
      </c>
      <c r="L76" s="3"/>
      <c r="M76" s="3"/>
      <c r="N76" s="3" t="s">
        <v>464</v>
      </c>
      <c r="O76" s="2" t="s">
        <v>489</v>
      </c>
      <c r="P76" t="s">
        <v>490</v>
      </c>
      <c r="Q76" t="s">
        <v>467</v>
      </c>
      <c r="R76" t="s">
        <v>468</v>
      </c>
      <c r="S76" t="s">
        <v>491</v>
      </c>
      <c r="T76" t="s">
        <v>43</v>
      </c>
      <c r="U76">
        <v>45</v>
      </c>
      <c r="V76" t="str">
        <f t="shared" si="2"/>
        <v>06/14/2023</v>
      </c>
      <c r="W76" t="s">
        <v>44</v>
      </c>
    </row>
    <row r="77" spans="1:24" x14ac:dyDescent="0.25">
      <c r="A77" t="s">
        <v>24</v>
      </c>
      <c r="B77" t="s">
        <v>460</v>
      </c>
      <c r="C77" s="6" t="s">
        <v>492</v>
      </c>
      <c r="D77" t="s">
        <v>107</v>
      </c>
      <c r="E77" t="s">
        <v>28</v>
      </c>
      <c r="F77" t="s">
        <v>28</v>
      </c>
      <c r="G77" t="s">
        <v>27</v>
      </c>
      <c r="H77" t="s">
        <v>28</v>
      </c>
      <c r="I77" s="3" t="s">
        <v>493</v>
      </c>
      <c r="J77" s="3" t="str">
        <f t="shared" si="3"/>
        <v>2023</v>
      </c>
      <c r="K77" s="3" t="s">
        <v>463</v>
      </c>
      <c r="L77" s="3"/>
      <c r="M77" s="3"/>
      <c r="N77" s="3" t="s">
        <v>464</v>
      </c>
      <c r="O77" s="2" t="s">
        <v>494</v>
      </c>
      <c r="P77" t="s">
        <v>495</v>
      </c>
      <c r="Q77" t="s">
        <v>467</v>
      </c>
      <c r="R77" t="s">
        <v>468</v>
      </c>
      <c r="S77" t="s">
        <v>496</v>
      </c>
      <c r="T77" t="s">
        <v>43</v>
      </c>
      <c r="U77">
        <v>204</v>
      </c>
      <c r="V77" t="str">
        <f t="shared" si="2"/>
        <v>07/19/2023</v>
      </c>
      <c r="W77" t="s">
        <v>44</v>
      </c>
    </row>
    <row r="78" spans="1:24" x14ac:dyDescent="0.25">
      <c r="A78" t="s">
        <v>24</v>
      </c>
      <c r="B78" t="s">
        <v>460</v>
      </c>
      <c r="C78" t="s">
        <v>497</v>
      </c>
      <c r="D78" t="s">
        <v>107</v>
      </c>
      <c r="E78" t="s">
        <v>26</v>
      </c>
      <c r="F78" t="s">
        <v>28</v>
      </c>
      <c r="I78" s="3" t="s">
        <v>498</v>
      </c>
      <c r="J78" s="3" t="str">
        <f t="shared" si="3"/>
        <v>2025</v>
      </c>
      <c r="K78" s="3" t="s">
        <v>463</v>
      </c>
      <c r="L78" s="16" t="s">
        <v>499</v>
      </c>
      <c r="M78" s="15" t="s">
        <v>500</v>
      </c>
      <c r="N78" s="3" t="s">
        <v>464</v>
      </c>
      <c r="O78" s="2" t="s">
        <v>501</v>
      </c>
      <c r="P78" t="s">
        <v>502</v>
      </c>
      <c r="Q78" t="s">
        <v>467</v>
      </c>
      <c r="R78" t="s">
        <v>468</v>
      </c>
      <c r="S78" t="s">
        <v>503</v>
      </c>
      <c r="T78" t="s">
        <v>43</v>
      </c>
      <c r="U78">
        <v>586</v>
      </c>
      <c r="V78" t="str">
        <f t="shared" si="2"/>
        <v>01/09/2025</v>
      </c>
      <c r="W78" t="s">
        <v>44</v>
      </c>
    </row>
    <row r="79" spans="1:24" x14ac:dyDescent="0.25">
      <c r="A79" t="s">
        <v>24</v>
      </c>
      <c r="B79" t="s">
        <v>460</v>
      </c>
      <c r="C79" t="s">
        <v>504</v>
      </c>
      <c r="D79" t="s">
        <v>107</v>
      </c>
      <c r="E79" t="s">
        <v>26</v>
      </c>
      <c r="F79" t="s">
        <v>28</v>
      </c>
      <c r="I79" s="3" t="s">
        <v>505</v>
      </c>
      <c r="J79" s="3" t="str">
        <f t="shared" si="3"/>
        <v>2025</v>
      </c>
      <c r="K79" s="3" t="s">
        <v>463</v>
      </c>
      <c r="L79" s="15" t="s">
        <v>506</v>
      </c>
      <c r="M79" s="3" t="s">
        <v>507</v>
      </c>
      <c r="N79" s="3" t="s">
        <v>464</v>
      </c>
      <c r="O79" s="2" t="s">
        <v>508</v>
      </c>
      <c r="P79" t="s">
        <v>509</v>
      </c>
      <c r="Q79" t="s">
        <v>467</v>
      </c>
      <c r="R79" t="s">
        <v>468</v>
      </c>
      <c r="S79" t="s">
        <v>510</v>
      </c>
      <c r="T79" t="s">
        <v>43</v>
      </c>
      <c r="U79">
        <v>588</v>
      </c>
      <c r="V79" t="str">
        <f t="shared" si="2"/>
        <v>01/16/2025</v>
      </c>
      <c r="W79" t="s">
        <v>44</v>
      </c>
    </row>
    <row r="80" spans="1:24" s="9" customFormat="1" x14ac:dyDescent="0.25">
      <c r="A80" t="s">
        <v>24</v>
      </c>
      <c r="B80" t="s">
        <v>460</v>
      </c>
      <c r="C80" t="s">
        <v>424</v>
      </c>
      <c r="D80" t="s">
        <v>107</v>
      </c>
      <c r="E80" t="s">
        <v>26</v>
      </c>
      <c r="F80" t="s">
        <v>28</v>
      </c>
      <c r="G80"/>
      <c r="H80"/>
      <c r="I80" s="3" t="s">
        <v>511</v>
      </c>
      <c r="J80" s="3" t="str">
        <f t="shared" si="3"/>
        <v>2025</v>
      </c>
      <c r="K80" s="3" t="s">
        <v>463</v>
      </c>
      <c r="L80" s="15" t="s">
        <v>512</v>
      </c>
      <c r="M80" s="3" t="s">
        <v>513</v>
      </c>
      <c r="N80" s="3" t="s">
        <v>464</v>
      </c>
      <c r="O80" s="2" t="s">
        <v>514</v>
      </c>
      <c r="P80" t="s">
        <v>515</v>
      </c>
      <c r="Q80" t="s">
        <v>467</v>
      </c>
      <c r="R80" t="s">
        <v>468</v>
      </c>
      <c r="S80" t="s">
        <v>516</v>
      </c>
      <c r="T80" t="s">
        <v>43</v>
      </c>
      <c r="U80">
        <v>604</v>
      </c>
      <c r="V80" t="str">
        <f t="shared" si="2"/>
        <v>03/11/2025</v>
      </c>
      <c r="W80" t="s">
        <v>44</v>
      </c>
      <c r="X80"/>
    </row>
    <row r="81" spans="1:24" x14ac:dyDescent="0.25">
      <c r="A81" t="s">
        <v>24</v>
      </c>
      <c r="B81" t="s">
        <v>460</v>
      </c>
      <c r="C81" t="s">
        <v>517</v>
      </c>
      <c r="D81" t="s">
        <v>107</v>
      </c>
      <c r="E81" t="s">
        <v>26</v>
      </c>
      <c r="F81" t="s">
        <v>28</v>
      </c>
      <c r="I81" s="3" t="s">
        <v>498</v>
      </c>
      <c r="J81" s="3" t="str">
        <f t="shared" si="3"/>
        <v>2025</v>
      </c>
      <c r="K81" s="3" t="s">
        <v>463</v>
      </c>
      <c r="L81" s="15" t="s">
        <v>518</v>
      </c>
      <c r="M81" s="15" t="s">
        <v>499</v>
      </c>
      <c r="N81" s="3" t="s">
        <v>464</v>
      </c>
      <c r="O81" s="2" t="s">
        <v>519</v>
      </c>
      <c r="P81" t="s">
        <v>520</v>
      </c>
      <c r="Q81" t="s">
        <v>467</v>
      </c>
      <c r="R81" t="s">
        <v>468</v>
      </c>
      <c r="S81" t="s">
        <v>521</v>
      </c>
      <c r="T81" t="s">
        <v>43</v>
      </c>
      <c r="U81">
        <v>576</v>
      </c>
      <c r="V81" t="str">
        <f t="shared" si="2"/>
        <v>01/09/2025</v>
      </c>
      <c r="W81" t="s">
        <v>44</v>
      </c>
    </row>
    <row r="82" spans="1:24" s="9" customFormat="1" x14ac:dyDescent="0.25">
      <c r="A82" t="s">
        <v>24</v>
      </c>
      <c r="B82" t="s">
        <v>460</v>
      </c>
      <c r="C82" t="s">
        <v>522</v>
      </c>
      <c r="D82" t="s">
        <v>107</v>
      </c>
      <c r="E82" t="s">
        <v>26</v>
      </c>
      <c r="F82" t="s">
        <v>28</v>
      </c>
      <c r="G82"/>
      <c r="H82"/>
      <c r="I82" s="3" t="s">
        <v>523</v>
      </c>
      <c r="J82" s="3" t="str">
        <f t="shared" si="3"/>
        <v>2025</v>
      </c>
      <c r="K82" s="3" t="s">
        <v>463</v>
      </c>
      <c r="L82" s="15" t="s">
        <v>524</v>
      </c>
      <c r="M82" s="3" t="s">
        <v>525</v>
      </c>
      <c r="N82" s="3" t="s">
        <v>464</v>
      </c>
      <c r="O82" s="2" t="s">
        <v>526</v>
      </c>
      <c r="P82" t="s">
        <v>527</v>
      </c>
      <c r="Q82" t="s">
        <v>467</v>
      </c>
      <c r="R82" t="s">
        <v>468</v>
      </c>
      <c r="S82" t="s">
        <v>528</v>
      </c>
      <c r="T82" t="s">
        <v>43</v>
      </c>
      <c r="U82">
        <v>589</v>
      </c>
      <c r="V82" t="str">
        <f t="shared" si="2"/>
        <v>01/21/2025</v>
      </c>
      <c r="W82" t="s">
        <v>44</v>
      </c>
      <c r="X82"/>
    </row>
    <row r="83" spans="1:24" x14ac:dyDescent="0.25">
      <c r="A83" t="s">
        <v>24</v>
      </c>
      <c r="B83" t="s">
        <v>460</v>
      </c>
      <c r="C83" t="s">
        <v>529</v>
      </c>
      <c r="D83" t="s">
        <v>107</v>
      </c>
      <c r="E83" t="s">
        <v>26</v>
      </c>
      <c r="F83" t="s">
        <v>28</v>
      </c>
      <c r="I83" s="3" t="s">
        <v>530</v>
      </c>
      <c r="J83" s="3" t="str">
        <f t="shared" si="3"/>
        <v>2024</v>
      </c>
      <c r="K83" s="3" t="s">
        <v>463</v>
      </c>
      <c r="L83" s="15" t="s">
        <v>531</v>
      </c>
      <c r="M83" s="15" t="s">
        <v>532</v>
      </c>
      <c r="N83" s="3" t="s">
        <v>464</v>
      </c>
      <c r="O83" s="2" t="s">
        <v>533</v>
      </c>
      <c r="P83" t="s">
        <v>534</v>
      </c>
      <c r="Q83" t="s">
        <v>467</v>
      </c>
      <c r="R83" t="s">
        <v>468</v>
      </c>
      <c r="S83" t="s">
        <v>535</v>
      </c>
      <c r="T83" t="s">
        <v>43</v>
      </c>
      <c r="U83">
        <v>354</v>
      </c>
      <c r="V83" t="str">
        <f t="shared" si="2"/>
        <v>05/22/2024</v>
      </c>
      <c r="W83" t="s">
        <v>44</v>
      </c>
    </row>
    <row r="84" spans="1:24" x14ac:dyDescent="0.25">
      <c r="A84" t="s">
        <v>24</v>
      </c>
      <c r="B84" t="s">
        <v>460</v>
      </c>
      <c r="C84" t="s">
        <v>536</v>
      </c>
      <c r="D84" t="s">
        <v>107</v>
      </c>
      <c r="E84" t="s">
        <v>26</v>
      </c>
      <c r="F84" t="s">
        <v>28</v>
      </c>
      <c r="I84" s="3" t="s">
        <v>537</v>
      </c>
      <c r="J84" s="3" t="str">
        <f t="shared" si="3"/>
        <v>2024</v>
      </c>
      <c r="K84" s="3" t="s">
        <v>463</v>
      </c>
      <c r="L84" s="3" t="s">
        <v>37</v>
      </c>
      <c r="M84" s="15" t="s">
        <v>538</v>
      </c>
      <c r="N84" s="3" t="s">
        <v>464</v>
      </c>
      <c r="O84" s="2" t="s">
        <v>539</v>
      </c>
      <c r="P84" t="s">
        <v>540</v>
      </c>
      <c r="Q84" t="s">
        <v>467</v>
      </c>
      <c r="R84" t="s">
        <v>468</v>
      </c>
      <c r="S84" t="s">
        <v>541</v>
      </c>
      <c r="T84" t="s">
        <v>43</v>
      </c>
      <c r="U84">
        <v>461</v>
      </c>
      <c r="V84" t="str">
        <f t="shared" si="2"/>
        <v>08/28/2024</v>
      </c>
      <c r="W84" t="s">
        <v>44</v>
      </c>
    </row>
    <row r="85" spans="1:24" x14ac:dyDescent="0.25">
      <c r="A85" t="s">
        <v>24</v>
      </c>
      <c r="B85" t="s">
        <v>460</v>
      </c>
      <c r="C85" t="s">
        <v>542</v>
      </c>
      <c r="D85" t="s">
        <v>107</v>
      </c>
      <c r="E85" t="s">
        <v>26</v>
      </c>
      <c r="F85" t="s">
        <v>28</v>
      </c>
      <c r="I85" s="3" t="s">
        <v>543</v>
      </c>
      <c r="J85" s="3" t="str">
        <f t="shared" si="3"/>
        <v>2024</v>
      </c>
      <c r="K85" s="3" t="s">
        <v>463</v>
      </c>
      <c r="L85" s="15" t="s">
        <v>532</v>
      </c>
      <c r="M85" s="15" t="s">
        <v>544</v>
      </c>
      <c r="N85" s="3" t="s">
        <v>464</v>
      </c>
      <c r="O85" s="2" t="s">
        <v>545</v>
      </c>
      <c r="P85" t="s">
        <v>546</v>
      </c>
      <c r="Q85" t="s">
        <v>467</v>
      </c>
      <c r="R85" t="s">
        <v>468</v>
      </c>
      <c r="S85" t="s">
        <v>547</v>
      </c>
      <c r="T85" t="s">
        <v>43</v>
      </c>
      <c r="U85">
        <v>460</v>
      </c>
      <c r="V85" t="str">
        <f t="shared" si="2"/>
        <v>08/26/2024</v>
      </c>
      <c r="W85" t="s">
        <v>44</v>
      </c>
    </row>
    <row r="86" spans="1:24" x14ac:dyDescent="0.25">
      <c r="A86" t="s">
        <v>24</v>
      </c>
      <c r="B86" t="s">
        <v>460</v>
      </c>
      <c r="C86" t="s">
        <v>548</v>
      </c>
      <c r="D86" t="s">
        <v>107</v>
      </c>
      <c r="E86" t="s">
        <v>26</v>
      </c>
      <c r="F86" t="s">
        <v>28</v>
      </c>
      <c r="I86" s="3" t="s">
        <v>549</v>
      </c>
      <c r="J86" s="3" t="str">
        <f t="shared" si="3"/>
        <v>2024</v>
      </c>
      <c r="K86" s="3" t="s">
        <v>463</v>
      </c>
      <c r="L86" s="3" t="s">
        <v>37</v>
      </c>
      <c r="M86" s="15" t="s">
        <v>550</v>
      </c>
      <c r="N86" s="3" t="s">
        <v>464</v>
      </c>
      <c r="O86" s="2" t="s">
        <v>551</v>
      </c>
      <c r="P86" t="s">
        <v>552</v>
      </c>
      <c r="Q86" t="s">
        <v>467</v>
      </c>
      <c r="R86" t="s">
        <v>468</v>
      </c>
      <c r="S86" t="s">
        <v>553</v>
      </c>
      <c r="T86" t="s">
        <v>43</v>
      </c>
      <c r="U86">
        <v>550</v>
      </c>
      <c r="V86" t="str">
        <f t="shared" si="2"/>
        <v>11/04/2024</v>
      </c>
      <c r="W86" t="s">
        <v>44</v>
      </c>
    </row>
    <row r="87" spans="1:24" x14ac:dyDescent="0.25">
      <c r="A87" t="s">
        <v>24</v>
      </c>
      <c r="B87" t="s">
        <v>460</v>
      </c>
      <c r="C87" t="s">
        <v>554</v>
      </c>
      <c r="D87" t="s">
        <v>107</v>
      </c>
      <c r="E87" t="s">
        <v>26</v>
      </c>
      <c r="F87" t="s">
        <v>28</v>
      </c>
      <c r="I87" s="3" t="s">
        <v>555</v>
      </c>
      <c r="J87" s="3" t="str">
        <f t="shared" si="3"/>
        <v>2024</v>
      </c>
      <c r="K87" s="3" t="s">
        <v>463</v>
      </c>
      <c r="L87" s="15" t="s">
        <v>556</v>
      </c>
      <c r="M87" s="15" t="s">
        <v>557</v>
      </c>
      <c r="N87" s="3" t="s">
        <v>464</v>
      </c>
      <c r="O87" s="2" t="s">
        <v>558</v>
      </c>
      <c r="P87" t="s">
        <v>559</v>
      </c>
      <c r="Q87" t="s">
        <v>467</v>
      </c>
      <c r="R87" t="s">
        <v>468</v>
      </c>
      <c r="S87" t="s">
        <v>560</v>
      </c>
      <c r="T87" t="s">
        <v>43</v>
      </c>
      <c r="U87">
        <v>414</v>
      </c>
      <c r="V87" t="str">
        <f t="shared" si="2"/>
        <v>07/10/2024</v>
      </c>
      <c r="W87" t="s">
        <v>44</v>
      </c>
    </row>
    <row r="88" spans="1:24" x14ac:dyDescent="0.25">
      <c r="A88" t="s">
        <v>24</v>
      </c>
      <c r="B88" t="s">
        <v>460</v>
      </c>
      <c r="C88" t="s">
        <v>561</v>
      </c>
      <c r="D88" t="s">
        <v>107</v>
      </c>
      <c r="E88" t="s">
        <v>26</v>
      </c>
      <c r="F88" t="s">
        <v>28</v>
      </c>
      <c r="I88" s="3" t="s">
        <v>562</v>
      </c>
      <c r="J88" s="3" t="str">
        <f t="shared" si="3"/>
        <v>2024</v>
      </c>
      <c r="K88" s="3" t="s">
        <v>463</v>
      </c>
      <c r="L88" s="3" t="s">
        <v>37</v>
      </c>
      <c r="M88" s="15" t="s">
        <v>563</v>
      </c>
      <c r="N88" s="3" t="s">
        <v>464</v>
      </c>
      <c r="O88" s="2" t="s">
        <v>564</v>
      </c>
      <c r="P88" t="s">
        <v>565</v>
      </c>
      <c r="Q88" t="s">
        <v>467</v>
      </c>
      <c r="R88" t="s">
        <v>468</v>
      </c>
      <c r="S88" t="s">
        <v>566</v>
      </c>
      <c r="T88" t="s">
        <v>43</v>
      </c>
      <c r="U88">
        <v>498</v>
      </c>
      <c r="V88" t="str">
        <f t="shared" si="2"/>
        <v>10/09/2024</v>
      </c>
      <c r="W88" t="s">
        <v>44</v>
      </c>
    </row>
    <row r="89" spans="1:24" x14ac:dyDescent="0.25">
      <c r="A89" t="s">
        <v>24</v>
      </c>
      <c r="B89" t="s">
        <v>460</v>
      </c>
      <c r="C89" t="s">
        <v>567</v>
      </c>
      <c r="D89" t="s">
        <v>107</v>
      </c>
      <c r="E89" t="s">
        <v>26</v>
      </c>
      <c r="F89" t="s">
        <v>28</v>
      </c>
      <c r="I89" s="3" t="s">
        <v>568</v>
      </c>
      <c r="J89" s="3" t="str">
        <f t="shared" si="3"/>
        <v>2024</v>
      </c>
      <c r="K89" s="3" t="s">
        <v>463</v>
      </c>
      <c r="L89" s="3" t="s">
        <v>37</v>
      </c>
      <c r="M89" s="15" t="s">
        <v>569</v>
      </c>
      <c r="N89" s="3" t="s">
        <v>464</v>
      </c>
      <c r="O89" s="2" t="s">
        <v>570</v>
      </c>
      <c r="P89" t="s">
        <v>571</v>
      </c>
      <c r="Q89" t="s">
        <v>467</v>
      </c>
      <c r="R89" t="s">
        <v>468</v>
      </c>
      <c r="S89" t="s">
        <v>572</v>
      </c>
      <c r="T89" t="s">
        <v>43</v>
      </c>
      <c r="U89">
        <v>495</v>
      </c>
      <c r="V89" t="str">
        <f t="shared" si="2"/>
        <v>10/04/2024</v>
      </c>
      <c r="W89" t="s">
        <v>44</v>
      </c>
    </row>
    <row r="90" spans="1:24" x14ac:dyDescent="0.25">
      <c r="A90" t="s">
        <v>24</v>
      </c>
      <c r="B90" t="s">
        <v>460</v>
      </c>
      <c r="C90" t="s">
        <v>573</v>
      </c>
      <c r="D90" t="s">
        <v>107</v>
      </c>
      <c r="E90" t="s">
        <v>26</v>
      </c>
      <c r="F90" t="s">
        <v>28</v>
      </c>
      <c r="I90" s="3" t="s">
        <v>555</v>
      </c>
      <c r="J90" s="3" t="str">
        <f t="shared" si="3"/>
        <v>2024</v>
      </c>
      <c r="K90" s="3" t="s">
        <v>463</v>
      </c>
      <c r="L90" s="3" t="s">
        <v>37</v>
      </c>
      <c r="M90" s="15" t="s">
        <v>574</v>
      </c>
      <c r="N90" s="3" t="s">
        <v>464</v>
      </c>
      <c r="O90" s="2" t="s">
        <v>575</v>
      </c>
      <c r="P90" t="s">
        <v>576</v>
      </c>
      <c r="Q90" t="s">
        <v>467</v>
      </c>
      <c r="R90" t="s">
        <v>468</v>
      </c>
      <c r="S90" t="s">
        <v>577</v>
      </c>
      <c r="T90" t="s">
        <v>43</v>
      </c>
      <c r="U90">
        <v>415</v>
      </c>
      <c r="V90" t="str">
        <f t="shared" si="2"/>
        <v>07/10/2024</v>
      </c>
      <c r="W90" t="s">
        <v>44</v>
      </c>
    </row>
    <row r="91" spans="1:24" x14ac:dyDescent="0.25">
      <c r="A91" t="s">
        <v>24</v>
      </c>
      <c r="B91" t="s">
        <v>460</v>
      </c>
      <c r="C91" t="s">
        <v>578</v>
      </c>
      <c r="D91" t="s">
        <v>107</v>
      </c>
      <c r="E91" t="s">
        <v>26</v>
      </c>
      <c r="F91" t="s">
        <v>28</v>
      </c>
      <c r="I91" s="3" t="s">
        <v>579</v>
      </c>
      <c r="J91" s="3" t="str">
        <f t="shared" si="3"/>
        <v>2024</v>
      </c>
      <c r="K91" s="3" t="s">
        <v>463</v>
      </c>
      <c r="L91" s="15" t="s">
        <v>580</v>
      </c>
      <c r="M91" s="15" t="s">
        <v>581</v>
      </c>
      <c r="N91" s="3" t="s">
        <v>464</v>
      </c>
      <c r="O91" s="2" t="s">
        <v>582</v>
      </c>
      <c r="P91" t="s">
        <v>583</v>
      </c>
      <c r="Q91" t="s">
        <v>467</v>
      </c>
      <c r="R91" t="s">
        <v>468</v>
      </c>
      <c r="S91" t="s">
        <v>584</v>
      </c>
      <c r="T91" t="s">
        <v>43</v>
      </c>
      <c r="U91">
        <v>366</v>
      </c>
      <c r="V91" t="str">
        <f t="shared" si="2"/>
        <v>05/27/2024</v>
      </c>
      <c r="W91" t="s">
        <v>44</v>
      </c>
      <c r="X91" t="s">
        <v>585</v>
      </c>
    </row>
    <row r="92" spans="1:24" x14ac:dyDescent="0.25">
      <c r="A92" t="s">
        <v>24</v>
      </c>
      <c r="B92" t="s">
        <v>460</v>
      </c>
      <c r="C92" t="s">
        <v>586</v>
      </c>
      <c r="D92" t="s">
        <v>107</v>
      </c>
      <c r="E92" t="s">
        <v>26</v>
      </c>
      <c r="F92" t="s">
        <v>28</v>
      </c>
      <c r="I92" s="3" t="s">
        <v>587</v>
      </c>
      <c r="J92" s="3" t="str">
        <f t="shared" si="3"/>
        <v>2024</v>
      </c>
      <c r="K92" s="3" t="s">
        <v>463</v>
      </c>
      <c r="L92" s="3" t="s">
        <v>37</v>
      </c>
      <c r="M92" s="15" t="s">
        <v>588</v>
      </c>
      <c r="N92" s="3" t="s">
        <v>464</v>
      </c>
      <c r="O92" s="2" t="s">
        <v>589</v>
      </c>
      <c r="P92" t="s">
        <v>590</v>
      </c>
      <c r="Q92" t="s">
        <v>467</v>
      </c>
      <c r="R92" t="s">
        <v>468</v>
      </c>
      <c r="S92" t="s">
        <v>591</v>
      </c>
      <c r="T92" t="s">
        <v>43</v>
      </c>
      <c r="U92">
        <v>298</v>
      </c>
      <c r="V92" t="str">
        <f t="shared" si="2"/>
        <v>02/06/2024</v>
      </c>
      <c r="W92" t="s">
        <v>44</v>
      </c>
    </row>
    <row r="93" spans="1:24" x14ac:dyDescent="0.25">
      <c r="A93" t="s">
        <v>24</v>
      </c>
      <c r="B93" t="s">
        <v>460</v>
      </c>
      <c r="C93" t="s">
        <v>592</v>
      </c>
      <c r="D93" t="s">
        <v>107</v>
      </c>
      <c r="E93" t="s">
        <v>26</v>
      </c>
      <c r="F93" t="s">
        <v>28</v>
      </c>
      <c r="I93" s="3" t="s">
        <v>593</v>
      </c>
      <c r="J93" s="3" t="str">
        <f t="shared" si="3"/>
        <v>2024</v>
      </c>
      <c r="K93" s="3" t="s">
        <v>463</v>
      </c>
      <c r="L93" s="3" t="s">
        <v>37</v>
      </c>
      <c r="M93" s="15" t="s">
        <v>594</v>
      </c>
      <c r="N93" s="3" t="s">
        <v>464</v>
      </c>
      <c r="O93" s="2" t="s">
        <v>595</v>
      </c>
      <c r="P93" t="s">
        <v>596</v>
      </c>
      <c r="Q93" t="s">
        <v>467</v>
      </c>
      <c r="R93" t="s">
        <v>468</v>
      </c>
      <c r="S93" t="s">
        <v>597</v>
      </c>
      <c r="T93" t="s">
        <v>43</v>
      </c>
      <c r="U93">
        <v>299</v>
      </c>
      <c r="V93" t="str">
        <f t="shared" si="2"/>
        <v>02/22/2024</v>
      </c>
      <c r="W93" t="s">
        <v>44</v>
      </c>
    </row>
    <row r="94" spans="1:24" x14ac:dyDescent="0.25">
      <c r="A94" t="s">
        <v>24</v>
      </c>
      <c r="B94" t="s">
        <v>460</v>
      </c>
      <c r="C94" t="s">
        <v>598</v>
      </c>
      <c r="D94" t="s">
        <v>107</v>
      </c>
      <c r="E94" t="s">
        <v>26</v>
      </c>
      <c r="F94" t="s">
        <v>28</v>
      </c>
      <c r="I94" s="3" t="s">
        <v>599</v>
      </c>
      <c r="J94" s="3" t="str">
        <f t="shared" si="3"/>
        <v>2024</v>
      </c>
      <c r="K94" s="3" t="s">
        <v>463</v>
      </c>
      <c r="L94" s="3" t="s">
        <v>37</v>
      </c>
      <c r="M94" s="16" t="s">
        <v>600</v>
      </c>
      <c r="N94" s="3" t="s">
        <v>464</v>
      </c>
      <c r="O94" s="2" t="s">
        <v>601</v>
      </c>
      <c r="P94" t="s">
        <v>602</v>
      </c>
      <c r="Q94" t="s">
        <v>467</v>
      </c>
      <c r="R94" t="s">
        <v>468</v>
      </c>
      <c r="S94" t="s">
        <v>603</v>
      </c>
      <c r="T94" t="s">
        <v>43</v>
      </c>
      <c r="U94">
        <v>481</v>
      </c>
      <c r="V94" t="str">
        <f t="shared" si="2"/>
        <v>09/19/2024</v>
      </c>
      <c r="W94" t="s">
        <v>44</v>
      </c>
      <c r="X94" t="s">
        <v>604</v>
      </c>
    </row>
    <row r="95" spans="1:24" x14ac:dyDescent="0.25">
      <c r="A95" t="s">
        <v>24</v>
      </c>
      <c r="B95" t="s">
        <v>460</v>
      </c>
      <c r="C95" t="s">
        <v>605</v>
      </c>
      <c r="D95" t="s">
        <v>107</v>
      </c>
      <c r="E95" t="s">
        <v>26</v>
      </c>
      <c r="F95" t="s">
        <v>28</v>
      </c>
      <c r="I95" s="3" t="s">
        <v>606</v>
      </c>
      <c r="J95" s="3" t="str">
        <f t="shared" si="3"/>
        <v>2024</v>
      </c>
      <c r="K95" s="3" t="s">
        <v>463</v>
      </c>
      <c r="L95" s="16" t="s">
        <v>580</v>
      </c>
      <c r="M95" s="3" t="s">
        <v>500</v>
      </c>
      <c r="N95" s="3" t="s">
        <v>464</v>
      </c>
      <c r="O95" s="2" t="s">
        <v>607</v>
      </c>
      <c r="P95" t="s">
        <v>608</v>
      </c>
      <c r="Q95" t="s">
        <v>467</v>
      </c>
      <c r="R95" t="s">
        <v>468</v>
      </c>
      <c r="S95" t="s">
        <v>609</v>
      </c>
      <c r="T95" t="s">
        <v>43</v>
      </c>
      <c r="U95">
        <v>431</v>
      </c>
      <c r="V95" t="str">
        <f t="shared" si="2"/>
        <v>08/06/2024</v>
      </c>
      <c r="W95" t="s">
        <v>44</v>
      </c>
    </row>
    <row r="96" spans="1:24" hidden="1" x14ac:dyDescent="0.25">
      <c r="A96" t="s">
        <v>24</v>
      </c>
      <c r="B96" t="s">
        <v>460</v>
      </c>
      <c r="C96" t="s">
        <v>610</v>
      </c>
      <c r="D96" t="s">
        <v>107</v>
      </c>
      <c r="E96" t="s">
        <v>26</v>
      </c>
      <c r="F96" t="s">
        <v>26</v>
      </c>
      <c r="I96" s="3" t="s">
        <v>611</v>
      </c>
      <c r="J96" s="3" t="str">
        <f t="shared" si="3"/>
        <v>2024</v>
      </c>
      <c r="K96" s="3" t="s">
        <v>463</v>
      </c>
      <c r="M96" s="3" t="s">
        <v>612</v>
      </c>
      <c r="N96" s="3" t="s">
        <v>464</v>
      </c>
      <c r="O96" s="2" t="s">
        <v>613</v>
      </c>
      <c r="P96" t="s">
        <v>614</v>
      </c>
      <c r="Q96" t="s">
        <v>467</v>
      </c>
      <c r="R96" t="s">
        <v>468</v>
      </c>
      <c r="S96" t="s">
        <v>615</v>
      </c>
      <c r="T96" t="s">
        <v>43</v>
      </c>
      <c r="U96">
        <v>565</v>
      </c>
      <c r="V96" t="str">
        <f t="shared" si="2"/>
        <v>12/11/2024</v>
      </c>
      <c r="W96" t="s">
        <v>44</v>
      </c>
    </row>
    <row r="97" spans="1:24" x14ac:dyDescent="0.25">
      <c r="A97" t="s">
        <v>24</v>
      </c>
      <c r="B97" t="s">
        <v>460</v>
      </c>
      <c r="C97" t="s">
        <v>616</v>
      </c>
      <c r="D97" t="s">
        <v>107</v>
      </c>
      <c r="E97" t="s">
        <v>26</v>
      </c>
      <c r="F97" t="s">
        <v>28</v>
      </c>
      <c r="I97" s="3" t="s">
        <v>617</v>
      </c>
      <c r="J97" s="3" t="str">
        <f t="shared" si="3"/>
        <v>2024</v>
      </c>
      <c r="K97" s="3" t="s">
        <v>463</v>
      </c>
      <c r="L97" s="15" t="s">
        <v>618</v>
      </c>
      <c r="M97" s="15" t="s">
        <v>619</v>
      </c>
      <c r="N97" s="3" t="s">
        <v>464</v>
      </c>
      <c r="O97" s="2" t="s">
        <v>620</v>
      </c>
      <c r="P97" t="s">
        <v>621</v>
      </c>
      <c r="Q97" t="s">
        <v>467</v>
      </c>
      <c r="R97" t="s">
        <v>468</v>
      </c>
      <c r="S97" t="s">
        <v>622</v>
      </c>
      <c r="T97" t="s">
        <v>43</v>
      </c>
      <c r="U97">
        <v>513</v>
      </c>
      <c r="V97" t="str">
        <f t="shared" si="2"/>
        <v>10/16/2024</v>
      </c>
      <c r="W97" t="s">
        <v>44</v>
      </c>
    </row>
    <row r="98" spans="1:24" x14ac:dyDescent="0.25">
      <c r="A98" t="s">
        <v>24</v>
      </c>
      <c r="B98" t="s">
        <v>460</v>
      </c>
      <c r="C98" t="s">
        <v>623</v>
      </c>
      <c r="D98" t="s">
        <v>107</v>
      </c>
      <c r="E98" t="s">
        <v>26</v>
      </c>
      <c r="F98" t="s">
        <v>28</v>
      </c>
      <c r="I98" s="3" t="s">
        <v>624</v>
      </c>
      <c r="J98" s="3" t="str">
        <f t="shared" si="3"/>
        <v>2024</v>
      </c>
      <c r="K98" s="3" t="s">
        <v>463</v>
      </c>
      <c r="L98" s="3" t="s">
        <v>37</v>
      </c>
      <c r="M98" s="3" t="s">
        <v>619</v>
      </c>
      <c r="N98" s="3" t="s">
        <v>464</v>
      </c>
      <c r="O98" s="2" t="s">
        <v>625</v>
      </c>
      <c r="P98" t="s">
        <v>626</v>
      </c>
      <c r="Q98" t="s">
        <v>467</v>
      </c>
      <c r="R98" t="s">
        <v>468</v>
      </c>
      <c r="S98" t="s">
        <v>627</v>
      </c>
      <c r="T98" t="s">
        <v>43</v>
      </c>
      <c r="U98">
        <v>323</v>
      </c>
      <c r="V98" t="str">
        <f t="shared" si="2"/>
        <v>02/27/2024</v>
      </c>
      <c r="W98" t="s">
        <v>44</v>
      </c>
    </row>
    <row r="99" spans="1:24" x14ac:dyDescent="0.25">
      <c r="A99" t="s">
        <v>24</v>
      </c>
      <c r="B99" t="s">
        <v>460</v>
      </c>
      <c r="C99" t="s">
        <v>628</v>
      </c>
      <c r="D99" t="s">
        <v>107</v>
      </c>
      <c r="E99" t="s">
        <v>26</v>
      </c>
      <c r="F99" t="s">
        <v>28</v>
      </c>
      <c r="I99" s="3" t="s">
        <v>629</v>
      </c>
      <c r="J99" s="3" t="str">
        <f t="shared" si="3"/>
        <v>2024</v>
      </c>
      <c r="K99" s="3" t="s">
        <v>463</v>
      </c>
      <c r="L99" s="15" t="s">
        <v>618</v>
      </c>
      <c r="M99" s="3" t="s">
        <v>630</v>
      </c>
      <c r="N99" s="3" t="s">
        <v>464</v>
      </c>
      <c r="O99" s="2" t="s">
        <v>631</v>
      </c>
      <c r="P99" t="s">
        <v>632</v>
      </c>
      <c r="Q99" t="s">
        <v>467</v>
      </c>
      <c r="R99" t="s">
        <v>468</v>
      </c>
      <c r="S99" t="s">
        <v>633</v>
      </c>
      <c r="T99" t="s">
        <v>43</v>
      </c>
      <c r="U99">
        <v>484</v>
      </c>
      <c r="V99" t="str">
        <f t="shared" si="2"/>
        <v>09/25/2024</v>
      </c>
      <c r="W99" t="s">
        <v>44</v>
      </c>
    </row>
    <row r="100" spans="1:24" x14ac:dyDescent="0.25">
      <c r="A100" t="s">
        <v>24</v>
      </c>
      <c r="B100" t="s">
        <v>460</v>
      </c>
      <c r="C100" t="s">
        <v>634</v>
      </c>
      <c r="D100" t="s">
        <v>107</v>
      </c>
      <c r="E100" t="s">
        <v>26</v>
      </c>
      <c r="F100" t="s">
        <v>28</v>
      </c>
      <c r="I100" s="3" t="s">
        <v>635</v>
      </c>
      <c r="J100" s="3" t="str">
        <f t="shared" si="3"/>
        <v>2024</v>
      </c>
      <c r="K100" s="3" t="s">
        <v>463</v>
      </c>
      <c r="L100" s="3" t="s">
        <v>37</v>
      </c>
      <c r="M100" s="3" t="s">
        <v>636</v>
      </c>
      <c r="N100" s="3" t="s">
        <v>464</v>
      </c>
      <c r="O100" s="2" t="s">
        <v>637</v>
      </c>
      <c r="P100" t="s">
        <v>638</v>
      </c>
      <c r="Q100" t="s">
        <v>467</v>
      </c>
      <c r="R100" t="s">
        <v>468</v>
      </c>
      <c r="S100" t="s">
        <v>639</v>
      </c>
      <c r="T100" t="s">
        <v>43</v>
      </c>
      <c r="U100">
        <v>349</v>
      </c>
      <c r="V100" t="str">
        <f t="shared" si="2"/>
        <v>04/02/2024</v>
      </c>
      <c r="W100" t="s">
        <v>44</v>
      </c>
    </row>
    <row r="101" spans="1:24" x14ac:dyDescent="0.25">
      <c r="A101" t="s">
        <v>24</v>
      </c>
      <c r="B101" t="s">
        <v>460</v>
      </c>
      <c r="C101" t="s">
        <v>640</v>
      </c>
      <c r="D101" t="s">
        <v>107</v>
      </c>
      <c r="E101" t="s">
        <v>26</v>
      </c>
      <c r="F101" t="s">
        <v>28</v>
      </c>
      <c r="I101" s="3" t="s">
        <v>641</v>
      </c>
      <c r="J101" s="3" t="str">
        <f t="shared" si="3"/>
        <v>2024</v>
      </c>
      <c r="K101" s="3" t="s">
        <v>463</v>
      </c>
      <c r="L101" s="3" t="s">
        <v>37</v>
      </c>
      <c r="M101" s="15" t="s">
        <v>642</v>
      </c>
      <c r="N101" s="3" t="s">
        <v>464</v>
      </c>
      <c r="O101" s="2" t="s">
        <v>643</v>
      </c>
      <c r="P101" t="s">
        <v>644</v>
      </c>
      <c r="Q101" t="s">
        <v>467</v>
      </c>
      <c r="R101" t="s">
        <v>468</v>
      </c>
      <c r="S101" t="s">
        <v>645</v>
      </c>
      <c r="T101" t="s">
        <v>43</v>
      </c>
      <c r="U101">
        <v>541</v>
      </c>
      <c r="V101" t="str">
        <f t="shared" si="2"/>
        <v>10/29/2024</v>
      </c>
      <c r="W101" t="s">
        <v>44</v>
      </c>
    </row>
    <row r="102" spans="1:24" x14ac:dyDescent="0.25">
      <c r="A102" t="s">
        <v>24</v>
      </c>
      <c r="B102" t="s">
        <v>460</v>
      </c>
      <c r="C102" t="s">
        <v>646</v>
      </c>
      <c r="D102" t="s">
        <v>107</v>
      </c>
      <c r="E102" t="s">
        <v>26</v>
      </c>
      <c r="F102" t="s">
        <v>28</v>
      </c>
      <c r="I102" s="3" t="s">
        <v>647</v>
      </c>
      <c r="J102" s="3" t="str">
        <f t="shared" si="3"/>
        <v>2024</v>
      </c>
      <c r="K102" s="3" t="s">
        <v>463</v>
      </c>
      <c r="L102" s="15" t="s">
        <v>618</v>
      </c>
      <c r="M102" s="3" t="s">
        <v>648</v>
      </c>
      <c r="N102" s="3" t="s">
        <v>464</v>
      </c>
      <c r="O102" s="2" t="s">
        <v>649</v>
      </c>
      <c r="P102" t="s">
        <v>650</v>
      </c>
      <c r="Q102" t="s">
        <v>467</v>
      </c>
      <c r="R102" t="s">
        <v>468</v>
      </c>
      <c r="S102" t="s">
        <v>651</v>
      </c>
      <c r="T102" t="s">
        <v>43</v>
      </c>
      <c r="U102">
        <v>500</v>
      </c>
      <c r="V102" t="str">
        <f t="shared" si="2"/>
        <v>10/10/2024</v>
      </c>
      <c r="W102" t="s">
        <v>44</v>
      </c>
    </row>
    <row r="103" spans="1:24" x14ac:dyDescent="0.25">
      <c r="A103" t="s">
        <v>24</v>
      </c>
      <c r="B103" t="s">
        <v>460</v>
      </c>
      <c r="C103" t="s">
        <v>652</v>
      </c>
      <c r="D103" t="s">
        <v>107</v>
      </c>
      <c r="E103" t="s">
        <v>26</v>
      </c>
      <c r="F103" t="s">
        <v>28</v>
      </c>
      <c r="I103" s="3" t="s">
        <v>653</v>
      </c>
      <c r="J103" s="3" t="str">
        <f t="shared" si="3"/>
        <v>2024</v>
      </c>
      <c r="K103" s="3" t="s">
        <v>463</v>
      </c>
      <c r="L103" s="15" t="s">
        <v>580</v>
      </c>
      <c r="M103" s="15" t="s">
        <v>500</v>
      </c>
      <c r="N103" s="3" t="s">
        <v>464</v>
      </c>
      <c r="O103" s="2" t="s">
        <v>654</v>
      </c>
      <c r="P103" t="s">
        <v>655</v>
      </c>
      <c r="Q103" t="s">
        <v>467</v>
      </c>
      <c r="R103" t="s">
        <v>468</v>
      </c>
      <c r="S103" t="s">
        <v>656</v>
      </c>
      <c r="T103" t="s">
        <v>43</v>
      </c>
      <c r="U103">
        <v>483</v>
      </c>
      <c r="V103" t="str">
        <f t="shared" si="2"/>
        <v>09/23/2024</v>
      </c>
      <c r="W103" t="s">
        <v>44</v>
      </c>
    </row>
    <row r="104" spans="1:24" x14ac:dyDescent="0.25">
      <c r="A104" t="s">
        <v>24</v>
      </c>
      <c r="B104" t="s">
        <v>460</v>
      </c>
      <c r="C104" t="s">
        <v>657</v>
      </c>
      <c r="D104" t="s">
        <v>107</v>
      </c>
      <c r="E104" t="s">
        <v>26</v>
      </c>
      <c r="F104" t="s">
        <v>28</v>
      </c>
      <c r="I104" s="3" t="s">
        <v>658</v>
      </c>
      <c r="J104" s="3" t="str">
        <f t="shared" si="3"/>
        <v>2024</v>
      </c>
      <c r="K104" s="3" t="s">
        <v>463</v>
      </c>
      <c r="L104" s="16" t="s">
        <v>659</v>
      </c>
      <c r="M104" s="15" t="s">
        <v>500</v>
      </c>
      <c r="N104" s="3" t="s">
        <v>464</v>
      </c>
      <c r="O104" s="2" t="s">
        <v>660</v>
      </c>
      <c r="P104" t="s">
        <v>661</v>
      </c>
      <c r="Q104" t="s">
        <v>467</v>
      </c>
      <c r="R104" t="s">
        <v>468</v>
      </c>
      <c r="S104" t="s">
        <v>662</v>
      </c>
      <c r="T104" t="s">
        <v>43</v>
      </c>
      <c r="U104">
        <v>346</v>
      </c>
      <c r="V104" t="str">
        <f t="shared" si="2"/>
        <v>03/21/2024</v>
      </c>
      <c r="W104" t="s">
        <v>44</v>
      </c>
    </row>
    <row r="105" spans="1:24" x14ac:dyDescent="0.25">
      <c r="A105" t="s">
        <v>24</v>
      </c>
      <c r="B105" t="s">
        <v>460</v>
      </c>
      <c r="C105" s="6" t="s">
        <v>663</v>
      </c>
      <c r="D105" t="s">
        <v>107</v>
      </c>
      <c r="E105" t="s">
        <v>28</v>
      </c>
      <c r="F105" t="s">
        <v>28</v>
      </c>
      <c r="I105" s="3" t="s">
        <v>488</v>
      </c>
      <c r="J105" s="3" t="str">
        <f t="shared" si="3"/>
        <v>2023</v>
      </c>
      <c r="K105" s="3" t="s">
        <v>463</v>
      </c>
      <c r="L105" s="3" t="s">
        <v>37</v>
      </c>
      <c r="M105" s="16" t="s">
        <v>659</v>
      </c>
      <c r="N105" s="3" t="s">
        <v>464</v>
      </c>
      <c r="O105" s="2" t="s">
        <v>664</v>
      </c>
      <c r="P105" t="s">
        <v>665</v>
      </c>
      <c r="Q105" t="s">
        <v>467</v>
      </c>
      <c r="R105" t="s">
        <v>468</v>
      </c>
      <c r="S105" t="s">
        <v>666</v>
      </c>
      <c r="T105" t="s">
        <v>43</v>
      </c>
      <c r="U105">
        <v>68</v>
      </c>
      <c r="V105" t="str">
        <f t="shared" si="2"/>
        <v>06/14/2023</v>
      </c>
      <c r="W105" t="s">
        <v>44</v>
      </c>
    </row>
    <row r="106" spans="1:24" x14ac:dyDescent="0.25">
      <c r="A106" t="s">
        <v>24</v>
      </c>
      <c r="B106" t="s">
        <v>460</v>
      </c>
      <c r="C106" t="s">
        <v>667</v>
      </c>
      <c r="D106" t="s">
        <v>107</v>
      </c>
      <c r="E106" t="s">
        <v>26</v>
      </c>
      <c r="F106" t="s">
        <v>28</v>
      </c>
      <c r="I106" s="3" t="s">
        <v>668</v>
      </c>
      <c r="J106" s="3" t="str">
        <f t="shared" si="3"/>
        <v>2023</v>
      </c>
      <c r="K106" s="3" t="s">
        <v>463</v>
      </c>
      <c r="L106" s="15" t="s">
        <v>556</v>
      </c>
      <c r="M106" s="15" t="s">
        <v>669</v>
      </c>
      <c r="N106" s="3" t="s">
        <v>464</v>
      </c>
      <c r="O106" s="2" t="s">
        <v>670</v>
      </c>
      <c r="P106" t="s">
        <v>671</v>
      </c>
      <c r="Q106" t="s">
        <v>467</v>
      </c>
      <c r="R106" t="s">
        <v>468</v>
      </c>
      <c r="S106" t="s">
        <v>672</v>
      </c>
      <c r="T106" t="s">
        <v>43</v>
      </c>
      <c r="U106">
        <v>252</v>
      </c>
      <c r="V106" t="str">
        <f t="shared" si="2"/>
        <v>08/29/2023</v>
      </c>
      <c r="W106" t="s">
        <v>44</v>
      </c>
    </row>
    <row r="107" spans="1:24" x14ac:dyDescent="0.25">
      <c r="A107" t="s">
        <v>24</v>
      </c>
      <c r="B107" t="s">
        <v>460</v>
      </c>
      <c r="C107" t="s">
        <v>673</v>
      </c>
      <c r="D107" t="s">
        <v>107</v>
      </c>
      <c r="E107" t="s">
        <v>26</v>
      </c>
      <c r="F107" t="s">
        <v>28</v>
      </c>
      <c r="I107" s="3" t="s">
        <v>668</v>
      </c>
      <c r="J107" s="3" t="str">
        <f t="shared" si="3"/>
        <v>2023</v>
      </c>
      <c r="K107" s="3" t="s">
        <v>463</v>
      </c>
      <c r="L107" s="3" t="s">
        <v>37</v>
      </c>
      <c r="M107" s="15" t="s">
        <v>674</v>
      </c>
      <c r="N107" s="3" t="s">
        <v>464</v>
      </c>
      <c r="O107" s="2" t="s">
        <v>675</v>
      </c>
      <c r="P107" t="s">
        <v>676</v>
      </c>
      <c r="Q107" t="s">
        <v>467</v>
      </c>
      <c r="R107" t="s">
        <v>468</v>
      </c>
      <c r="S107" t="s">
        <v>677</v>
      </c>
      <c r="T107" t="s">
        <v>43</v>
      </c>
      <c r="U107">
        <v>256</v>
      </c>
      <c r="V107" t="str">
        <f t="shared" si="2"/>
        <v>08/29/2023</v>
      </c>
      <c r="W107" t="s">
        <v>44</v>
      </c>
      <c r="X107" t="s">
        <v>678</v>
      </c>
    </row>
    <row r="108" spans="1:24" x14ac:dyDescent="0.25">
      <c r="A108" t="s">
        <v>24</v>
      </c>
      <c r="B108" t="s">
        <v>679</v>
      </c>
      <c r="C108" t="s">
        <v>680</v>
      </c>
      <c r="D108" t="s">
        <v>35</v>
      </c>
      <c r="E108" t="s">
        <v>26</v>
      </c>
      <c r="F108" t="s">
        <v>28</v>
      </c>
      <c r="G108" t="s">
        <v>27</v>
      </c>
      <c r="H108" t="s">
        <v>280</v>
      </c>
      <c r="I108" s="3" t="s">
        <v>36</v>
      </c>
      <c r="J108" s="3" t="str">
        <f t="shared" si="3"/>
        <v>2019</v>
      </c>
      <c r="K108" s="3" t="s">
        <v>681</v>
      </c>
      <c r="L108" s="3" t="s">
        <v>37</v>
      </c>
      <c r="M108" s="15" t="s">
        <v>682</v>
      </c>
      <c r="N108" s="33" t="s">
        <v>683</v>
      </c>
      <c r="O108" s="2" t="s">
        <v>684</v>
      </c>
      <c r="P108" t="s">
        <v>685</v>
      </c>
      <c r="Q108" t="s">
        <v>686</v>
      </c>
      <c r="R108" t="s">
        <v>687</v>
      </c>
      <c r="S108" t="s">
        <v>688</v>
      </c>
      <c r="T108" t="s">
        <v>43</v>
      </c>
      <c r="U108">
        <v>1354498</v>
      </c>
      <c r="V108" t="str">
        <f t="shared" si="2"/>
        <v>09/26/2019</v>
      </c>
      <c r="W108" t="s">
        <v>44</v>
      </c>
    </row>
    <row r="109" spans="1:24" x14ac:dyDescent="0.25">
      <c r="A109" t="s">
        <v>24</v>
      </c>
      <c r="B109" s="6" t="s">
        <v>679</v>
      </c>
      <c r="C109" s="6" t="s">
        <v>689</v>
      </c>
      <c r="D109" s="6" t="s">
        <v>35</v>
      </c>
      <c r="E109" t="s">
        <v>26</v>
      </c>
      <c r="F109" s="6" t="s">
        <v>28</v>
      </c>
      <c r="G109" s="6" t="s">
        <v>27</v>
      </c>
      <c r="H109" s="6" t="s">
        <v>280</v>
      </c>
      <c r="I109" s="10" t="s">
        <v>36</v>
      </c>
      <c r="J109" s="10" t="str">
        <f t="shared" si="3"/>
        <v>2019</v>
      </c>
      <c r="K109" s="3" t="s">
        <v>681</v>
      </c>
      <c r="L109" s="13" t="s">
        <v>37</v>
      </c>
      <c r="M109" s="10" t="s">
        <v>37</v>
      </c>
      <c r="N109" s="33" t="s">
        <v>683</v>
      </c>
      <c r="O109" s="11" t="s">
        <v>690</v>
      </c>
      <c r="P109" s="6" t="s">
        <v>691</v>
      </c>
      <c r="Q109" s="6" t="s">
        <v>686</v>
      </c>
      <c r="R109" s="6" t="s">
        <v>687</v>
      </c>
      <c r="S109" s="6" t="s">
        <v>692</v>
      </c>
      <c r="T109" s="6" t="s">
        <v>43</v>
      </c>
      <c r="U109" s="6">
        <v>1354497</v>
      </c>
      <c r="V109" s="6" t="str">
        <f t="shared" si="2"/>
        <v>09/26/2019</v>
      </c>
      <c r="W109" s="6" t="s">
        <v>44</v>
      </c>
      <c r="X109" s="6" t="s">
        <v>693</v>
      </c>
    </row>
    <row r="110" spans="1:24" x14ac:dyDescent="0.25">
      <c r="A110" t="s">
        <v>24</v>
      </c>
      <c r="B110" t="s">
        <v>679</v>
      </c>
      <c r="C110" t="s">
        <v>694</v>
      </c>
      <c r="D110" t="s">
        <v>35</v>
      </c>
      <c r="E110" t="s">
        <v>26</v>
      </c>
      <c r="F110" t="s">
        <v>28</v>
      </c>
      <c r="G110" t="s">
        <v>27</v>
      </c>
      <c r="H110" t="s">
        <v>280</v>
      </c>
      <c r="I110" s="3" t="s">
        <v>36</v>
      </c>
      <c r="J110" s="3" t="str">
        <f t="shared" si="3"/>
        <v>2019</v>
      </c>
      <c r="K110" s="3" t="s">
        <v>681</v>
      </c>
      <c r="L110" s="3" t="s">
        <v>37</v>
      </c>
      <c r="M110" s="15" t="s">
        <v>682</v>
      </c>
      <c r="N110" s="33" t="s">
        <v>683</v>
      </c>
      <c r="O110" s="2" t="s">
        <v>695</v>
      </c>
      <c r="P110" t="s">
        <v>696</v>
      </c>
      <c r="Q110" t="s">
        <v>686</v>
      </c>
      <c r="R110" t="s">
        <v>687</v>
      </c>
      <c r="S110" t="s">
        <v>697</v>
      </c>
      <c r="T110" t="s">
        <v>43</v>
      </c>
      <c r="U110">
        <v>1354499</v>
      </c>
      <c r="V110" t="str">
        <f t="shared" si="2"/>
        <v>09/26/2019</v>
      </c>
      <c r="W110" t="s">
        <v>44</v>
      </c>
    </row>
    <row r="111" spans="1:24" x14ac:dyDescent="0.25">
      <c r="A111" t="s">
        <v>24</v>
      </c>
      <c r="B111" t="s">
        <v>679</v>
      </c>
      <c r="C111" t="s">
        <v>698</v>
      </c>
      <c r="D111" t="s">
        <v>35</v>
      </c>
      <c r="E111" t="s">
        <v>26</v>
      </c>
      <c r="F111" t="s">
        <v>28</v>
      </c>
      <c r="G111" t="s">
        <v>27</v>
      </c>
      <c r="H111" t="s">
        <v>280</v>
      </c>
      <c r="I111" s="3" t="s">
        <v>36</v>
      </c>
      <c r="J111" s="3" t="str">
        <f t="shared" si="3"/>
        <v>2019</v>
      </c>
      <c r="K111" s="3" t="s">
        <v>681</v>
      </c>
      <c r="L111" s="3" t="s">
        <v>37</v>
      </c>
      <c r="M111" s="15" t="s">
        <v>682</v>
      </c>
      <c r="N111" s="33" t="s">
        <v>683</v>
      </c>
      <c r="O111" s="2" t="s">
        <v>699</v>
      </c>
      <c r="P111" t="s">
        <v>700</v>
      </c>
      <c r="Q111" t="s">
        <v>686</v>
      </c>
      <c r="R111" t="s">
        <v>687</v>
      </c>
      <c r="S111" t="s">
        <v>701</v>
      </c>
      <c r="T111" t="s">
        <v>43</v>
      </c>
      <c r="U111">
        <v>1354501</v>
      </c>
      <c r="V111" t="str">
        <f t="shared" si="2"/>
        <v>09/26/2019</v>
      </c>
      <c r="W111" t="s">
        <v>44</v>
      </c>
    </row>
    <row r="112" spans="1:24" x14ac:dyDescent="0.25">
      <c r="A112" t="s">
        <v>24</v>
      </c>
      <c r="B112" s="7" t="s">
        <v>679</v>
      </c>
      <c r="C112" s="7" t="s">
        <v>702</v>
      </c>
      <c r="D112" s="7" t="s">
        <v>35</v>
      </c>
      <c r="E112" t="s">
        <v>26</v>
      </c>
      <c r="F112" s="7" t="s">
        <v>28</v>
      </c>
      <c r="G112" s="7" t="s">
        <v>27</v>
      </c>
      <c r="H112" s="7" t="s">
        <v>280</v>
      </c>
      <c r="I112" s="13" t="s">
        <v>36</v>
      </c>
      <c r="J112" s="13" t="str">
        <f t="shared" si="3"/>
        <v>2019</v>
      </c>
      <c r="K112" s="3" t="s">
        <v>681</v>
      </c>
      <c r="L112" s="13" t="s">
        <v>37</v>
      </c>
      <c r="M112" s="13" t="s">
        <v>37</v>
      </c>
      <c r="N112" s="33" t="s">
        <v>683</v>
      </c>
      <c r="O112" s="14" t="s">
        <v>703</v>
      </c>
      <c r="P112" s="7" t="s">
        <v>704</v>
      </c>
      <c r="Q112" s="7" t="s">
        <v>686</v>
      </c>
      <c r="R112" s="7" t="s">
        <v>687</v>
      </c>
      <c r="S112" s="7" t="s">
        <v>705</v>
      </c>
      <c r="T112" s="7" t="s">
        <v>43</v>
      </c>
      <c r="U112" s="7">
        <v>1354500</v>
      </c>
      <c r="V112" s="7" t="str">
        <f t="shared" si="2"/>
        <v>09/26/2019</v>
      </c>
      <c r="W112" s="7" t="s">
        <v>44</v>
      </c>
      <c r="X112" s="7" t="s">
        <v>706</v>
      </c>
    </row>
    <row r="113" spans="1:24" x14ac:dyDescent="0.25">
      <c r="A113" t="s">
        <v>24</v>
      </c>
      <c r="B113" t="s">
        <v>679</v>
      </c>
      <c r="C113" t="s">
        <v>707</v>
      </c>
      <c r="D113" t="s">
        <v>35</v>
      </c>
      <c r="E113" t="s">
        <v>26</v>
      </c>
      <c r="F113" t="s">
        <v>28</v>
      </c>
      <c r="G113" t="s">
        <v>27</v>
      </c>
      <c r="H113" t="s">
        <v>280</v>
      </c>
      <c r="I113" s="3" t="s">
        <v>36</v>
      </c>
      <c r="J113" s="3" t="str">
        <f t="shared" si="3"/>
        <v>2019</v>
      </c>
      <c r="K113" s="3" t="s">
        <v>681</v>
      </c>
      <c r="L113" s="3" t="s">
        <v>37</v>
      </c>
      <c r="M113" s="15" t="s">
        <v>682</v>
      </c>
      <c r="N113" s="33" t="s">
        <v>683</v>
      </c>
      <c r="O113" s="2" t="s">
        <v>708</v>
      </c>
      <c r="P113" t="s">
        <v>709</v>
      </c>
      <c r="Q113" t="s">
        <v>686</v>
      </c>
      <c r="R113" t="s">
        <v>687</v>
      </c>
      <c r="S113" t="s">
        <v>710</v>
      </c>
      <c r="T113" t="s">
        <v>43</v>
      </c>
      <c r="U113">
        <v>1354502</v>
      </c>
      <c r="V113" t="str">
        <f t="shared" si="2"/>
        <v>09/26/2019</v>
      </c>
      <c r="W113" t="s">
        <v>44</v>
      </c>
    </row>
    <row r="114" spans="1:24" x14ac:dyDescent="0.25">
      <c r="A114" t="s">
        <v>24</v>
      </c>
      <c r="B114" t="s">
        <v>679</v>
      </c>
      <c r="C114" t="s">
        <v>711</v>
      </c>
      <c r="D114" t="s">
        <v>35</v>
      </c>
      <c r="E114" t="s">
        <v>26</v>
      </c>
      <c r="F114" t="s">
        <v>28</v>
      </c>
      <c r="G114" t="s">
        <v>27</v>
      </c>
      <c r="H114" t="s">
        <v>280</v>
      </c>
      <c r="I114" s="3" t="s">
        <v>36</v>
      </c>
      <c r="J114" s="3" t="str">
        <f t="shared" si="3"/>
        <v>2019</v>
      </c>
      <c r="K114" s="3" t="s">
        <v>681</v>
      </c>
      <c r="L114" s="3" t="s">
        <v>37</v>
      </c>
      <c r="M114" s="15" t="s">
        <v>682</v>
      </c>
      <c r="N114" s="33" t="s">
        <v>683</v>
      </c>
      <c r="O114" s="2" t="s">
        <v>712</v>
      </c>
      <c r="P114" t="s">
        <v>713</v>
      </c>
      <c r="Q114" t="s">
        <v>686</v>
      </c>
      <c r="R114" t="s">
        <v>687</v>
      </c>
      <c r="S114" t="s">
        <v>714</v>
      </c>
      <c r="T114" t="s">
        <v>43</v>
      </c>
      <c r="U114">
        <v>1354503</v>
      </c>
      <c r="V114" t="str">
        <f t="shared" si="2"/>
        <v>09/26/2019</v>
      </c>
      <c r="W114" t="s">
        <v>44</v>
      </c>
      <c r="X114" t="s">
        <v>715</v>
      </c>
    </row>
    <row r="115" spans="1:24" x14ac:dyDescent="0.25">
      <c r="A115" t="s">
        <v>24</v>
      </c>
      <c r="B115" t="s">
        <v>679</v>
      </c>
      <c r="C115" t="s">
        <v>716</v>
      </c>
      <c r="D115" t="s">
        <v>35</v>
      </c>
      <c r="E115" t="s">
        <v>26</v>
      </c>
      <c r="F115" t="s">
        <v>28</v>
      </c>
      <c r="G115" t="s">
        <v>27</v>
      </c>
      <c r="H115" t="s">
        <v>280</v>
      </c>
      <c r="I115" s="3" t="s">
        <v>36</v>
      </c>
      <c r="J115" s="3" t="str">
        <f t="shared" si="3"/>
        <v>2019</v>
      </c>
      <c r="K115" s="3" t="s">
        <v>681</v>
      </c>
      <c r="L115" s="3" t="s">
        <v>37</v>
      </c>
      <c r="M115" s="15" t="s">
        <v>682</v>
      </c>
      <c r="N115" s="33" t="s">
        <v>683</v>
      </c>
      <c r="O115" s="2" t="s">
        <v>717</v>
      </c>
      <c r="P115" t="s">
        <v>718</v>
      </c>
      <c r="Q115" t="s">
        <v>686</v>
      </c>
      <c r="R115" t="s">
        <v>687</v>
      </c>
      <c r="S115" t="s">
        <v>719</v>
      </c>
      <c r="T115" t="s">
        <v>43</v>
      </c>
      <c r="U115">
        <v>1354504</v>
      </c>
      <c r="V115" t="str">
        <f t="shared" si="2"/>
        <v>09/26/2019</v>
      </c>
      <c r="W115" t="s">
        <v>44</v>
      </c>
      <c r="X115" t="s">
        <v>720</v>
      </c>
    </row>
    <row r="116" spans="1:24" x14ac:dyDescent="0.25">
      <c r="A116" t="s">
        <v>24</v>
      </c>
      <c r="B116" t="s">
        <v>679</v>
      </c>
      <c r="C116" t="s">
        <v>721</v>
      </c>
      <c r="D116" t="s">
        <v>35</v>
      </c>
      <c r="E116" t="s">
        <v>26</v>
      </c>
      <c r="F116" t="s">
        <v>28</v>
      </c>
      <c r="G116" t="s">
        <v>27</v>
      </c>
      <c r="H116" t="s">
        <v>280</v>
      </c>
      <c r="I116" s="3" t="s">
        <v>36</v>
      </c>
      <c r="J116" s="3" t="str">
        <f t="shared" si="3"/>
        <v>2019</v>
      </c>
      <c r="K116" s="3" t="s">
        <v>681</v>
      </c>
      <c r="L116" s="3" t="s">
        <v>37</v>
      </c>
      <c r="M116" s="15" t="s">
        <v>682</v>
      </c>
      <c r="N116" s="33" t="s">
        <v>683</v>
      </c>
      <c r="O116" s="2" t="s">
        <v>722</v>
      </c>
      <c r="P116" t="s">
        <v>723</v>
      </c>
      <c r="Q116" t="s">
        <v>686</v>
      </c>
      <c r="R116" t="s">
        <v>687</v>
      </c>
      <c r="S116" t="s">
        <v>724</v>
      </c>
      <c r="T116" t="s">
        <v>43</v>
      </c>
      <c r="U116">
        <v>1354505</v>
      </c>
      <c r="V116" t="str">
        <f t="shared" si="2"/>
        <v>09/26/2019</v>
      </c>
      <c r="W116" t="s">
        <v>44</v>
      </c>
    </row>
    <row r="117" spans="1:24" x14ac:dyDescent="0.25">
      <c r="A117" t="s">
        <v>24</v>
      </c>
      <c r="B117" t="s">
        <v>679</v>
      </c>
      <c r="C117" t="s">
        <v>725</v>
      </c>
      <c r="D117" t="s">
        <v>35</v>
      </c>
      <c r="E117" t="s">
        <v>26</v>
      </c>
      <c r="F117" t="s">
        <v>28</v>
      </c>
      <c r="G117" t="s">
        <v>27</v>
      </c>
      <c r="H117" t="s">
        <v>280</v>
      </c>
      <c r="I117" s="3" t="s">
        <v>36</v>
      </c>
      <c r="J117" s="3" t="str">
        <f t="shared" si="3"/>
        <v>2019</v>
      </c>
      <c r="K117" s="3" t="s">
        <v>681</v>
      </c>
      <c r="L117" s="3" t="s">
        <v>37</v>
      </c>
      <c r="M117" s="15" t="s">
        <v>682</v>
      </c>
      <c r="N117" s="33" t="s">
        <v>683</v>
      </c>
      <c r="O117" s="2" t="s">
        <v>726</v>
      </c>
      <c r="P117" t="s">
        <v>727</v>
      </c>
      <c r="Q117" t="s">
        <v>686</v>
      </c>
      <c r="R117" t="s">
        <v>687</v>
      </c>
      <c r="S117" t="s">
        <v>728</v>
      </c>
      <c r="T117" t="s">
        <v>43</v>
      </c>
      <c r="U117">
        <v>1354506</v>
      </c>
      <c r="V117" t="str">
        <f t="shared" si="2"/>
        <v>09/26/2019</v>
      </c>
      <c r="W117" t="s">
        <v>44</v>
      </c>
    </row>
    <row r="118" spans="1:24" x14ac:dyDescent="0.25">
      <c r="A118" t="s">
        <v>24</v>
      </c>
      <c r="B118" t="s">
        <v>679</v>
      </c>
      <c r="C118" t="s">
        <v>729</v>
      </c>
      <c r="D118" t="s">
        <v>35</v>
      </c>
      <c r="E118" t="s">
        <v>26</v>
      </c>
      <c r="F118" t="s">
        <v>28</v>
      </c>
      <c r="G118" t="s">
        <v>27</v>
      </c>
      <c r="H118" t="s">
        <v>280</v>
      </c>
      <c r="I118" s="3" t="s">
        <v>36</v>
      </c>
      <c r="J118" s="3" t="str">
        <f t="shared" si="3"/>
        <v>2019</v>
      </c>
      <c r="K118" s="3" t="s">
        <v>681</v>
      </c>
      <c r="L118" s="3" t="s">
        <v>37</v>
      </c>
      <c r="M118" s="15" t="s">
        <v>682</v>
      </c>
      <c r="N118" s="33" t="s">
        <v>683</v>
      </c>
      <c r="O118" s="2" t="s">
        <v>730</v>
      </c>
      <c r="P118" t="s">
        <v>731</v>
      </c>
      <c r="Q118" t="s">
        <v>686</v>
      </c>
      <c r="R118" t="s">
        <v>687</v>
      </c>
      <c r="S118" t="s">
        <v>732</v>
      </c>
      <c r="T118" t="s">
        <v>43</v>
      </c>
      <c r="U118">
        <v>1354507</v>
      </c>
      <c r="V118" t="str">
        <f t="shared" si="2"/>
        <v>09/26/2019</v>
      </c>
      <c r="W118" t="s">
        <v>44</v>
      </c>
    </row>
    <row r="119" spans="1:24" x14ac:dyDescent="0.25">
      <c r="A119" t="s">
        <v>24</v>
      </c>
      <c r="B119" t="s">
        <v>679</v>
      </c>
      <c r="C119" t="s">
        <v>733</v>
      </c>
      <c r="D119" t="s">
        <v>35</v>
      </c>
      <c r="E119" t="s">
        <v>26</v>
      </c>
      <c r="F119" t="s">
        <v>28</v>
      </c>
      <c r="G119" t="s">
        <v>27</v>
      </c>
      <c r="H119" t="s">
        <v>280</v>
      </c>
      <c r="I119" s="3" t="s">
        <v>36</v>
      </c>
      <c r="J119" s="3" t="str">
        <f t="shared" si="3"/>
        <v>2019</v>
      </c>
      <c r="K119" s="3" t="s">
        <v>681</v>
      </c>
      <c r="L119" s="3" t="s">
        <v>37</v>
      </c>
      <c r="M119" s="3" t="s">
        <v>734</v>
      </c>
      <c r="N119" s="33" t="s">
        <v>683</v>
      </c>
      <c r="O119" s="2" t="s">
        <v>735</v>
      </c>
      <c r="P119" t="s">
        <v>736</v>
      </c>
      <c r="Q119" t="s">
        <v>686</v>
      </c>
      <c r="R119" t="s">
        <v>687</v>
      </c>
      <c r="S119" t="s">
        <v>737</v>
      </c>
      <c r="T119" t="s">
        <v>43</v>
      </c>
      <c r="U119">
        <v>1354508</v>
      </c>
      <c r="V119" t="str">
        <f t="shared" si="2"/>
        <v>09/26/2019</v>
      </c>
      <c r="W119" t="s">
        <v>44</v>
      </c>
      <c r="X119" t="s">
        <v>738</v>
      </c>
    </row>
    <row r="120" spans="1:24" x14ac:dyDescent="0.25">
      <c r="A120" t="s">
        <v>24</v>
      </c>
      <c r="B120" t="s">
        <v>679</v>
      </c>
      <c r="C120" t="s">
        <v>739</v>
      </c>
      <c r="D120" t="s">
        <v>35</v>
      </c>
      <c r="E120" t="s">
        <v>26</v>
      </c>
      <c r="F120" t="s">
        <v>28</v>
      </c>
      <c r="G120" t="s">
        <v>27</v>
      </c>
      <c r="H120" t="s">
        <v>280</v>
      </c>
      <c r="I120" s="3" t="s">
        <v>36</v>
      </c>
      <c r="J120" s="3" t="str">
        <f t="shared" si="3"/>
        <v>2019</v>
      </c>
      <c r="K120" s="3" t="s">
        <v>681</v>
      </c>
      <c r="L120" s="3" t="s">
        <v>37</v>
      </c>
      <c r="M120" s="15" t="s">
        <v>682</v>
      </c>
      <c r="N120" s="33" t="s">
        <v>683</v>
      </c>
      <c r="O120" s="2" t="s">
        <v>740</v>
      </c>
      <c r="P120" t="s">
        <v>741</v>
      </c>
      <c r="Q120" t="s">
        <v>686</v>
      </c>
      <c r="R120" t="s">
        <v>687</v>
      </c>
      <c r="S120" t="s">
        <v>742</v>
      </c>
      <c r="T120" t="s">
        <v>43</v>
      </c>
      <c r="U120">
        <v>1354509</v>
      </c>
      <c r="V120" t="str">
        <f t="shared" si="2"/>
        <v>09/26/2019</v>
      </c>
      <c r="W120" t="s">
        <v>44</v>
      </c>
    </row>
    <row r="121" spans="1:24" x14ac:dyDescent="0.25">
      <c r="A121" t="s">
        <v>24</v>
      </c>
      <c r="B121" t="s">
        <v>679</v>
      </c>
      <c r="C121" t="s">
        <v>743</v>
      </c>
      <c r="D121" t="s">
        <v>35</v>
      </c>
      <c r="E121" t="s">
        <v>26</v>
      </c>
      <c r="F121" t="s">
        <v>28</v>
      </c>
      <c r="G121" t="s">
        <v>27</v>
      </c>
      <c r="H121" t="s">
        <v>280</v>
      </c>
      <c r="I121" s="3" t="s">
        <v>36</v>
      </c>
      <c r="J121" s="3" t="str">
        <f t="shared" si="3"/>
        <v>2019</v>
      </c>
      <c r="K121" s="3" t="s">
        <v>681</v>
      </c>
      <c r="L121" s="3" t="s">
        <v>37</v>
      </c>
      <c r="M121" s="15" t="s">
        <v>682</v>
      </c>
      <c r="N121" s="33" t="s">
        <v>683</v>
      </c>
      <c r="O121" s="2" t="s">
        <v>744</v>
      </c>
      <c r="P121" t="s">
        <v>745</v>
      </c>
      <c r="Q121" t="s">
        <v>686</v>
      </c>
      <c r="R121" t="s">
        <v>687</v>
      </c>
      <c r="S121" t="s">
        <v>746</v>
      </c>
      <c r="T121" t="s">
        <v>43</v>
      </c>
      <c r="U121">
        <v>1354510</v>
      </c>
      <c r="V121" t="str">
        <f t="shared" si="2"/>
        <v>09/26/2019</v>
      </c>
      <c r="W121" t="s">
        <v>44</v>
      </c>
      <c r="X121" t="s">
        <v>747</v>
      </c>
    </row>
    <row r="122" spans="1:24" x14ac:dyDescent="0.25">
      <c r="A122" t="s">
        <v>24</v>
      </c>
      <c r="B122" t="s">
        <v>679</v>
      </c>
      <c r="C122" t="s">
        <v>748</v>
      </c>
      <c r="D122" t="s">
        <v>35</v>
      </c>
      <c r="E122" t="s">
        <v>26</v>
      </c>
      <c r="F122" t="s">
        <v>28</v>
      </c>
      <c r="G122" t="s">
        <v>27</v>
      </c>
      <c r="H122" t="s">
        <v>280</v>
      </c>
      <c r="I122" s="3" t="s">
        <v>36</v>
      </c>
      <c r="J122" s="3" t="str">
        <f t="shared" si="3"/>
        <v>2019</v>
      </c>
      <c r="K122" s="3" t="s">
        <v>681</v>
      </c>
      <c r="L122" s="3" t="s">
        <v>37</v>
      </c>
      <c r="M122" s="15" t="s">
        <v>682</v>
      </c>
      <c r="N122" s="33" t="s">
        <v>683</v>
      </c>
      <c r="O122" s="2" t="s">
        <v>749</v>
      </c>
      <c r="P122" t="s">
        <v>750</v>
      </c>
      <c r="Q122" t="s">
        <v>686</v>
      </c>
      <c r="R122" t="s">
        <v>687</v>
      </c>
      <c r="S122" t="s">
        <v>751</v>
      </c>
      <c r="T122" t="s">
        <v>43</v>
      </c>
      <c r="U122">
        <v>1354511</v>
      </c>
      <c r="V122" t="str">
        <f t="shared" si="2"/>
        <v>09/26/2019</v>
      </c>
      <c r="W122" t="s">
        <v>44</v>
      </c>
      <c r="X122" t="s">
        <v>752</v>
      </c>
    </row>
    <row r="123" spans="1:24" x14ac:dyDescent="0.25">
      <c r="A123" t="s">
        <v>24</v>
      </c>
      <c r="B123" t="s">
        <v>679</v>
      </c>
      <c r="C123" t="s">
        <v>753</v>
      </c>
      <c r="D123" t="s">
        <v>35</v>
      </c>
      <c r="E123" t="s">
        <v>26</v>
      </c>
      <c r="F123" t="s">
        <v>28</v>
      </c>
      <c r="G123" t="s">
        <v>27</v>
      </c>
      <c r="H123" t="s">
        <v>280</v>
      </c>
      <c r="I123" s="3" t="s">
        <v>36</v>
      </c>
      <c r="J123" s="3" t="str">
        <f t="shared" si="3"/>
        <v>2019</v>
      </c>
      <c r="K123" s="3" t="s">
        <v>681</v>
      </c>
      <c r="L123" s="3" t="s">
        <v>37</v>
      </c>
      <c r="M123" s="15" t="s">
        <v>682</v>
      </c>
      <c r="N123" s="33" t="s">
        <v>683</v>
      </c>
      <c r="O123" s="2" t="s">
        <v>754</v>
      </c>
      <c r="P123" t="s">
        <v>755</v>
      </c>
      <c r="Q123" t="s">
        <v>686</v>
      </c>
      <c r="R123" t="s">
        <v>687</v>
      </c>
      <c r="S123" t="s">
        <v>756</v>
      </c>
      <c r="T123" t="s">
        <v>43</v>
      </c>
      <c r="U123">
        <v>1354512</v>
      </c>
      <c r="V123" t="str">
        <f t="shared" si="2"/>
        <v>09/26/2019</v>
      </c>
      <c r="W123" t="s">
        <v>44</v>
      </c>
      <c r="X123" t="s">
        <v>757</v>
      </c>
    </row>
    <row r="124" spans="1:24" x14ac:dyDescent="0.25">
      <c r="A124" t="s">
        <v>24</v>
      </c>
      <c r="B124" t="s">
        <v>679</v>
      </c>
      <c r="C124" t="s">
        <v>758</v>
      </c>
      <c r="D124" t="s">
        <v>35</v>
      </c>
      <c r="E124" t="s">
        <v>26</v>
      </c>
      <c r="F124" t="s">
        <v>28</v>
      </c>
      <c r="G124" t="s">
        <v>27</v>
      </c>
      <c r="H124" t="s">
        <v>280</v>
      </c>
      <c r="I124" s="3" t="s">
        <v>36</v>
      </c>
      <c r="J124" s="3" t="str">
        <f t="shared" si="3"/>
        <v>2019</v>
      </c>
      <c r="K124" s="3" t="s">
        <v>681</v>
      </c>
      <c r="L124" s="3" t="s">
        <v>37</v>
      </c>
      <c r="M124" s="15" t="s">
        <v>682</v>
      </c>
      <c r="N124" s="33" t="s">
        <v>683</v>
      </c>
      <c r="O124" s="2" t="s">
        <v>759</v>
      </c>
      <c r="P124" t="s">
        <v>760</v>
      </c>
      <c r="Q124" t="s">
        <v>686</v>
      </c>
      <c r="R124" t="s">
        <v>687</v>
      </c>
      <c r="S124" t="s">
        <v>761</v>
      </c>
      <c r="T124" t="s">
        <v>43</v>
      </c>
      <c r="U124">
        <v>1354513</v>
      </c>
      <c r="V124" t="str">
        <f t="shared" si="2"/>
        <v>09/26/2019</v>
      </c>
      <c r="W124" t="s">
        <v>44</v>
      </c>
    </row>
    <row r="125" spans="1:24" x14ac:dyDescent="0.25">
      <c r="A125" t="s">
        <v>24</v>
      </c>
      <c r="B125" t="s">
        <v>679</v>
      </c>
      <c r="C125" t="s">
        <v>762</v>
      </c>
      <c r="D125" t="s">
        <v>35</v>
      </c>
      <c r="E125" t="s">
        <v>26</v>
      </c>
      <c r="F125" t="s">
        <v>28</v>
      </c>
      <c r="G125" t="s">
        <v>27</v>
      </c>
      <c r="H125" t="s">
        <v>280</v>
      </c>
      <c r="I125" s="3" t="s">
        <v>36</v>
      </c>
      <c r="J125" s="3" t="str">
        <f t="shared" si="3"/>
        <v>2019</v>
      </c>
      <c r="K125" s="3" t="s">
        <v>681</v>
      </c>
      <c r="L125" s="3" t="s">
        <v>37</v>
      </c>
      <c r="M125" s="15" t="s">
        <v>682</v>
      </c>
      <c r="N125" s="33" t="s">
        <v>683</v>
      </c>
      <c r="O125" s="2" t="s">
        <v>763</v>
      </c>
      <c r="P125" t="s">
        <v>764</v>
      </c>
      <c r="Q125" t="s">
        <v>686</v>
      </c>
      <c r="R125" t="s">
        <v>687</v>
      </c>
      <c r="S125" t="s">
        <v>765</v>
      </c>
      <c r="T125" t="s">
        <v>43</v>
      </c>
      <c r="U125">
        <v>1354514</v>
      </c>
      <c r="V125" t="str">
        <f t="shared" si="2"/>
        <v>09/26/2019</v>
      </c>
      <c r="W125" t="s">
        <v>44</v>
      </c>
    </row>
    <row r="126" spans="1:24" x14ac:dyDescent="0.25">
      <c r="A126" t="s">
        <v>24</v>
      </c>
      <c r="B126" t="s">
        <v>679</v>
      </c>
      <c r="C126" t="s">
        <v>766</v>
      </c>
      <c r="D126" t="s">
        <v>35</v>
      </c>
      <c r="E126" t="s">
        <v>26</v>
      </c>
      <c r="F126" t="s">
        <v>28</v>
      </c>
      <c r="G126" t="s">
        <v>27</v>
      </c>
      <c r="H126" t="s">
        <v>280</v>
      </c>
      <c r="I126" s="3" t="s">
        <v>36</v>
      </c>
      <c r="J126" s="3" t="str">
        <f t="shared" si="3"/>
        <v>2019</v>
      </c>
      <c r="K126" s="3" t="s">
        <v>681</v>
      </c>
      <c r="L126" s="3" t="s">
        <v>37</v>
      </c>
      <c r="M126" s="15" t="s">
        <v>682</v>
      </c>
      <c r="N126" s="33" t="s">
        <v>683</v>
      </c>
      <c r="O126" s="2" t="s">
        <v>767</v>
      </c>
      <c r="P126" t="s">
        <v>768</v>
      </c>
      <c r="Q126" t="s">
        <v>686</v>
      </c>
      <c r="R126" t="s">
        <v>687</v>
      </c>
      <c r="S126" t="s">
        <v>769</v>
      </c>
      <c r="T126" t="s">
        <v>43</v>
      </c>
      <c r="U126">
        <v>1354515</v>
      </c>
      <c r="V126" t="str">
        <f t="shared" si="2"/>
        <v>09/26/2019</v>
      </c>
      <c r="W126" t="s">
        <v>44</v>
      </c>
      <c r="X126" t="s">
        <v>770</v>
      </c>
    </row>
    <row r="127" spans="1:24" x14ac:dyDescent="0.25">
      <c r="A127" t="s">
        <v>24</v>
      </c>
      <c r="B127" t="s">
        <v>771</v>
      </c>
      <c r="C127" t="s">
        <v>772</v>
      </c>
      <c r="D127" t="s">
        <v>107</v>
      </c>
      <c r="E127" t="s">
        <v>28</v>
      </c>
      <c r="F127" t="s">
        <v>28</v>
      </c>
      <c r="I127" s="3" t="s">
        <v>773</v>
      </c>
      <c r="J127" s="3" t="str">
        <f t="shared" si="3"/>
        <v>2022</v>
      </c>
      <c r="K127" s="3" t="s">
        <v>280</v>
      </c>
      <c r="L127" s="16" t="s">
        <v>774</v>
      </c>
      <c r="M127" s="16" t="s">
        <v>774</v>
      </c>
      <c r="N127" s="3"/>
      <c r="O127" s="2" t="s">
        <v>775</v>
      </c>
      <c r="P127" t="s">
        <v>776</v>
      </c>
      <c r="Q127" t="s">
        <v>777</v>
      </c>
      <c r="R127" t="s">
        <v>778</v>
      </c>
      <c r="S127" t="s">
        <v>779</v>
      </c>
      <c r="T127" t="s">
        <v>43</v>
      </c>
      <c r="U127">
        <v>18</v>
      </c>
      <c r="V127" t="str">
        <f t="shared" si="2"/>
        <v>11/14/2022</v>
      </c>
      <c r="W127" t="s">
        <v>44</v>
      </c>
      <c r="X127" t="s">
        <v>780</v>
      </c>
    </row>
    <row r="128" spans="1:24" hidden="1" x14ac:dyDescent="0.25">
      <c r="A128" t="s">
        <v>24</v>
      </c>
      <c r="B128" t="s">
        <v>771</v>
      </c>
      <c r="C128" t="s">
        <v>781</v>
      </c>
      <c r="D128" t="s">
        <v>107</v>
      </c>
      <c r="E128" t="s">
        <v>26</v>
      </c>
      <c r="F128" t="s">
        <v>26</v>
      </c>
      <c r="G128" t="s">
        <v>27</v>
      </c>
      <c r="H128" t="s">
        <v>28</v>
      </c>
      <c r="I128" s="3" t="s">
        <v>782</v>
      </c>
      <c r="J128" s="3" t="str">
        <f t="shared" si="3"/>
        <v>2022</v>
      </c>
      <c r="K128" s="3" t="s">
        <v>783</v>
      </c>
      <c r="L128" s="3"/>
      <c r="M128" s="3"/>
      <c r="N128" s="3"/>
      <c r="O128" s="2" t="s">
        <v>784</v>
      </c>
      <c r="P128" t="s">
        <v>785</v>
      </c>
      <c r="Q128" t="s">
        <v>777</v>
      </c>
      <c r="R128" t="s">
        <v>778</v>
      </c>
      <c r="S128" t="s">
        <v>786</v>
      </c>
      <c r="T128" t="s">
        <v>43</v>
      </c>
      <c r="U128">
        <v>27</v>
      </c>
      <c r="V128" t="str">
        <f t="shared" si="2"/>
        <v>12/20/2022</v>
      </c>
      <c r="W128" t="s">
        <v>44</v>
      </c>
      <c r="X128" t="s">
        <v>787</v>
      </c>
    </row>
    <row r="129" spans="1:24" hidden="1" x14ac:dyDescent="0.25">
      <c r="A129" t="s">
        <v>24</v>
      </c>
      <c r="B129" t="s">
        <v>771</v>
      </c>
      <c r="C129" t="s">
        <v>788</v>
      </c>
      <c r="D129" t="s">
        <v>107</v>
      </c>
      <c r="E129" t="s">
        <v>26</v>
      </c>
      <c r="F129" t="s">
        <v>26</v>
      </c>
      <c r="G129" t="s">
        <v>27</v>
      </c>
      <c r="H129" t="s">
        <v>28</v>
      </c>
      <c r="I129" s="3" t="s">
        <v>236</v>
      </c>
      <c r="J129" s="3" t="str">
        <f t="shared" si="3"/>
        <v>2021</v>
      </c>
      <c r="K129" s="3" t="s">
        <v>783</v>
      </c>
      <c r="L129" s="3"/>
      <c r="M129" s="3"/>
      <c r="N129" s="3"/>
      <c r="O129" s="2" t="s">
        <v>789</v>
      </c>
      <c r="P129" t="s">
        <v>790</v>
      </c>
      <c r="Q129" t="s">
        <v>777</v>
      </c>
      <c r="R129" t="s">
        <v>778</v>
      </c>
      <c r="S129" t="s">
        <v>791</v>
      </c>
      <c r="T129" t="s">
        <v>43</v>
      </c>
      <c r="U129">
        <v>9</v>
      </c>
      <c r="V129" t="str">
        <f t="shared" ref="V129:V133" si="4">TEXT(DATEVALUE(LEFT(O129,10)), "mm/dd/yyyy")</f>
        <v>11/08/2021</v>
      </c>
      <c r="W129" t="s">
        <v>44</v>
      </c>
    </row>
    <row r="130" spans="1:24" x14ac:dyDescent="0.25">
      <c r="A130" t="s">
        <v>24</v>
      </c>
      <c r="B130" t="s">
        <v>792</v>
      </c>
      <c r="C130" t="s">
        <v>793</v>
      </c>
      <c r="D130" t="s">
        <v>35</v>
      </c>
      <c r="E130" t="s">
        <v>28</v>
      </c>
      <c r="F130" t="s">
        <v>28</v>
      </c>
      <c r="I130" s="3" t="s">
        <v>36</v>
      </c>
      <c r="J130" s="3" t="str">
        <f t="shared" ref="J130:J193" si="5">RIGHT(I130,4)</f>
        <v>2019</v>
      </c>
      <c r="K130" s="3"/>
      <c r="L130" s="3" t="s">
        <v>37</v>
      </c>
      <c r="M130" s="16" t="s">
        <v>794</v>
      </c>
      <c r="N130" s="3"/>
      <c r="O130" s="2" t="s">
        <v>795</v>
      </c>
      <c r="P130" t="s">
        <v>796</v>
      </c>
      <c r="Q130" t="s">
        <v>797</v>
      </c>
      <c r="R130" t="s">
        <v>798</v>
      </c>
      <c r="S130" t="s">
        <v>799</v>
      </c>
      <c r="T130" t="s">
        <v>43</v>
      </c>
      <c r="U130">
        <v>156799</v>
      </c>
      <c r="V130" t="str">
        <f t="shared" si="4"/>
        <v>09/26/2019</v>
      </c>
      <c r="W130" t="s">
        <v>44</v>
      </c>
    </row>
    <row r="131" spans="1:24" x14ac:dyDescent="0.25">
      <c r="A131" t="s">
        <v>24</v>
      </c>
      <c r="B131" t="s">
        <v>792</v>
      </c>
      <c r="C131" t="s">
        <v>800</v>
      </c>
      <c r="D131" t="s">
        <v>35</v>
      </c>
      <c r="E131" t="s">
        <v>28</v>
      </c>
      <c r="F131" t="s">
        <v>28</v>
      </c>
      <c r="I131" s="3" t="s">
        <v>36</v>
      </c>
      <c r="J131" s="3" t="str">
        <f t="shared" si="5"/>
        <v>2019</v>
      </c>
      <c r="K131" s="3"/>
      <c r="L131" s="3" t="s">
        <v>37</v>
      </c>
      <c r="M131" s="16" t="s">
        <v>801</v>
      </c>
      <c r="N131" s="3"/>
      <c r="O131" s="2" t="s">
        <v>802</v>
      </c>
      <c r="P131" t="s">
        <v>803</v>
      </c>
      <c r="Q131" t="s">
        <v>797</v>
      </c>
      <c r="R131" t="s">
        <v>798</v>
      </c>
      <c r="S131" t="s">
        <v>804</v>
      </c>
      <c r="T131" t="s">
        <v>43</v>
      </c>
      <c r="U131">
        <v>156800</v>
      </c>
      <c r="V131" t="str">
        <f t="shared" si="4"/>
        <v>09/26/2019</v>
      </c>
      <c r="W131" t="s">
        <v>44</v>
      </c>
      <c r="X131" t="s">
        <v>805</v>
      </c>
    </row>
    <row r="132" spans="1:24" x14ac:dyDescent="0.25">
      <c r="A132" t="s">
        <v>24</v>
      </c>
      <c r="B132" t="s">
        <v>806</v>
      </c>
      <c r="C132" t="s">
        <v>807</v>
      </c>
      <c r="D132" t="s">
        <v>107</v>
      </c>
      <c r="E132" t="s">
        <v>28</v>
      </c>
      <c r="F132" t="s">
        <v>28</v>
      </c>
      <c r="H132" t="s">
        <v>26</v>
      </c>
      <c r="I132" s="3" t="s">
        <v>808</v>
      </c>
      <c r="J132" s="3" t="str">
        <f t="shared" si="5"/>
        <v>2024</v>
      </c>
      <c r="K132" s="3"/>
      <c r="L132" s="3" t="s">
        <v>37</v>
      </c>
      <c r="M132" s="16" t="s">
        <v>809</v>
      </c>
      <c r="N132" s="3"/>
      <c r="O132" s="2" t="s">
        <v>810</v>
      </c>
      <c r="P132" t="s">
        <v>811</v>
      </c>
      <c r="Q132" t="s">
        <v>812</v>
      </c>
      <c r="R132" t="s">
        <v>813</v>
      </c>
      <c r="S132" t="s">
        <v>814</v>
      </c>
      <c r="T132" t="s">
        <v>43</v>
      </c>
      <c r="U132">
        <v>18</v>
      </c>
      <c r="V132" t="str">
        <f t="shared" si="4"/>
        <v>10/01/2024</v>
      </c>
      <c r="W132" t="s">
        <v>44</v>
      </c>
    </row>
    <row r="133" spans="1:24" x14ac:dyDescent="0.25">
      <c r="A133" t="s">
        <v>24</v>
      </c>
      <c r="B133" s="7" t="s">
        <v>792</v>
      </c>
      <c r="C133" s="7" t="s">
        <v>815</v>
      </c>
      <c r="D133" s="7" t="s">
        <v>35</v>
      </c>
      <c r="E133" s="7" t="s">
        <v>28</v>
      </c>
      <c r="F133" s="7" t="s">
        <v>28</v>
      </c>
      <c r="G133" s="7"/>
      <c r="H133" s="7"/>
      <c r="I133" s="13" t="s">
        <v>36</v>
      </c>
      <c r="J133" s="13" t="str">
        <f t="shared" si="5"/>
        <v>2019</v>
      </c>
      <c r="K133" s="13" t="s">
        <v>37</v>
      </c>
      <c r="L133" s="13" t="s">
        <v>37</v>
      </c>
      <c r="M133" s="13" t="s">
        <v>37</v>
      </c>
      <c r="N133" s="13"/>
      <c r="O133" s="14" t="s">
        <v>816</v>
      </c>
      <c r="P133" s="7" t="s">
        <v>817</v>
      </c>
      <c r="Q133" s="7" t="s">
        <v>797</v>
      </c>
      <c r="R133" s="7" t="s">
        <v>798</v>
      </c>
      <c r="S133" s="7" t="s">
        <v>818</v>
      </c>
      <c r="T133" s="7" t="s">
        <v>43</v>
      </c>
      <c r="U133" s="7">
        <v>156801</v>
      </c>
      <c r="V133" s="7" t="str">
        <f t="shared" si="4"/>
        <v>09/26/2019</v>
      </c>
      <c r="W133" s="7" t="s">
        <v>44</v>
      </c>
      <c r="X133" s="7" t="s">
        <v>819</v>
      </c>
    </row>
    <row r="134" spans="1:24" hidden="1" x14ac:dyDescent="0.25">
      <c r="A134" t="s">
        <v>24</v>
      </c>
      <c r="B134" t="s">
        <v>820</v>
      </c>
      <c r="E134" t="s">
        <v>26</v>
      </c>
      <c r="F134" t="s">
        <v>26</v>
      </c>
      <c r="G134" t="s">
        <v>27</v>
      </c>
      <c r="H134" t="s">
        <v>28</v>
      </c>
      <c r="I134" s="3"/>
      <c r="J134" s="3" t="str">
        <f t="shared" si="5"/>
        <v/>
      </c>
      <c r="K134" s="3"/>
      <c r="L134" s="3"/>
      <c r="M134" s="3"/>
      <c r="N134" s="3"/>
      <c r="O134" s="2"/>
      <c r="Q134" t="s">
        <v>821</v>
      </c>
      <c r="R134" t="s">
        <v>822</v>
      </c>
      <c r="X134" t="s">
        <v>823</v>
      </c>
    </row>
    <row r="135" spans="1:24" x14ac:dyDescent="0.25">
      <c r="A135" t="s">
        <v>24</v>
      </c>
      <c r="B135" s="7" t="s">
        <v>824</v>
      </c>
      <c r="C135" s="7" t="s">
        <v>825</v>
      </c>
      <c r="D135" s="7" t="s">
        <v>35</v>
      </c>
      <c r="E135" s="7" t="s">
        <v>26</v>
      </c>
      <c r="F135" s="7" t="s">
        <v>28</v>
      </c>
      <c r="G135" s="7"/>
      <c r="H135" s="7" t="s">
        <v>28</v>
      </c>
      <c r="I135" s="13" t="s">
        <v>36</v>
      </c>
      <c r="J135" s="13" t="str">
        <f t="shared" si="5"/>
        <v>2019</v>
      </c>
      <c r="K135" s="13" t="s">
        <v>87</v>
      </c>
      <c r="L135" s="13" t="s">
        <v>37</v>
      </c>
      <c r="M135" s="13" t="s">
        <v>37</v>
      </c>
      <c r="N135" s="13" t="s">
        <v>826</v>
      </c>
      <c r="O135" s="14" t="s">
        <v>827</v>
      </c>
      <c r="P135" s="7" t="s">
        <v>828</v>
      </c>
      <c r="Q135" s="7" t="s">
        <v>829</v>
      </c>
      <c r="R135" s="7" t="s">
        <v>830</v>
      </c>
      <c r="S135" s="7" t="s">
        <v>831</v>
      </c>
      <c r="T135" s="7" t="s">
        <v>43</v>
      </c>
      <c r="U135" s="7">
        <v>568892</v>
      </c>
      <c r="V135" s="7" t="str">
        <f t="shared" ref="V135:V198" si="6">TEXT(DATEVALUE(LEFT(O135,10)), "mm/dd/yyyy")</f>
        <v>09/26/2019</v>
      </c>
      <c r="W135" s="7" t="s">
        <v>44</v>
      </c>
      <c r="X135" s="7"/>
    </row>
    <row r="136" spans="1:24" x14ac:dyDescent="0.25">
      <c r="A136" t="s">
        <v>24</v>
      </c>
      <c r="B136" s="7" t="s">
        <v>824</v>
      </c>
      <c r="C136" s="7" t="s">
        <v>832</v>
      </c>
      <c r="D136" s="7" t="s">
        <v>35</v>
      </c>
      <c r="E136" s="7" t="s">
        <v>26</v>
      </c>
      <c r="F136" s="7" t="s">
        <v>28</v>
      </c>
      <c r="G136" s="7"/>
      <c r="H136" s="7" t="s">
        <v>28</v>
      </c>
      <c r="I136" s="13" t="s">
        <v>36</v>
      </c>
      <c r="J136" s="13" t="str">
        <f t="shared" si="5"/>
        <v>2019</v>
      </c>
      <c r="K136" s="13" t="s">
        <v>87</v>
      </c>
      <c r="L136" s="13" t="s">
        <v>37</v>
      </c>
      <c r="M136" s="13" t="s">
        <v>37</v>
      </c>
      <c r="N136" s="13" t="s">
        <v>833</v>
      </c>
      <c r="O136" s="14" t="s">
        <v>834</v>
      </c>
      <c r="P136" s="7" t="s">
        <v>835</v>
      </c>
      <c r="Q136" s="7" t="s">
        <v>829</v>
      </c>
      <c r="R136" s="7" t="s">
        <v>830</v>
      </c>
      <c r="S136" s="7" t="s">
        <v>836</v>
      </c>
      <c r="T136" s="7" t="s">
        <v>43</v>
      </c>
      <c r="U136" s="7">
        <v>568893</v>
      </c>
      <c r="V136" s="7" t="str">
        <f t="shared" si="6"/>
        <v>09/26/2019</v>
      </c>
      <c r="W136" s="7" t="s">
        <v>44</v>
      </c>
      <c r="X136" s="7"/>
    </row>
    <row r="137" spans="1:24" hidden="1" x14ac:dyDescent="0.25">
      <c r="A137" t="s">
        <v>24</v>
      </c>
      <c r="B137" t="s">
        <v>824</v>
      </c>
      <c r="C137" t="s">
        <v>837</v>
      </c>
      <c r="D137" t="s">
        <v>35</v>
      </c>
      <c r="E137" t="s">
        <v>26</v>
      </c>
      <c r="F137" t="s">
        <v>26</v>
      </c>
      <c r="I137" s="3" t="s">
        <v>36</v>
      </c>
      <c r="J137" s="3" t="str">
        <f t="shared" si="5"/>
        <v>2019</v>
      </c>
      <c r="K137" s="3"/>
      <c r="L137" s="3"/>
      <c r="M137" s="3"/>
      <c r="N137" s="3"/>
      <c r="O137" s="2" t="s">
        <v>838</v>
      </c>
      <c r="P137" t="s">
        <v>839</v>
      </c>
      <c r="Q137" t="s">
        <v>829</v>
      </c>
      <c r="R137" t="s">
        <v>830</v>
      </c>
      <c r="S137" t="s">
        <v>840</v>
      </c>
      <c r="T137" t="s">
        <v>43</v>
      </c>
      <c r="U137">
        <v>568895</v>
      </c>
      <c r="V137" t="str">
        <f t="shared" si="6"/>
        <v>09/26/2019</v>
      </c>
      <c r="W137" t="s">
        <v>44</v>
      </c>
    </row>
    <row r="138" spans="1:24" s="7" customFormat="1" x14ac:dyDescent="0.25">
      <c r="A138" t="s">
        <v>24</v>
      </c>
      <c r="B138" s="7" t="s">
        <v>824</v>
      </c>
      <c r="C138" s="7" t="s">
        <v>841</v>
      </c>
      <c r="D138" s="7" t="s">
        <v>35</v>
      </c>
      <c r="E138" s="7" t="s">
        <v>26</v>
      </c>
      <c r="F138" s="7" t="s">
        <v>28</v>
      </c>
      <c r="H138" s="7" t="s">
        <v>28</v>
      </c>
      <c r="I138" s="13" t="s">
        <v>36</v>
      </c>
      <c r="J138" s="13" t="str">
        <f t="shared" si="5"/>
        <v>2019</v>
      </c>
      <c r="K138" s="13" t="s">
        <v>87</v>
      </c>
      <c r="L138" s="13" t="s">
        <v>37</v>
      </c>
      <c r="M138" s="13" t="s">
        <v>37</v>
      </c>
      <c r="N138" s="13" t="s">
        <v>833</v>
      </c>
      <c r="O138" s="11" t="s">
        <v>842</v>
      </c>
      <c r="P138" s="6" t="s">
        <v>843</v>
      </c>
      <c r="Q138" s="6" t="s">
        <v>829</v>
      </c>
      <c r="R138" s="6" t="s">
        <v>830</v>
      </c>
      <c r="S138" s="6" t="s">
        <v>844</v>
      </c>
      <c r="T138" s="6" t="s">
        <v>43</v>
      </c>
      <c r="U138" s="6">
        <v>568896</v>
      </c>
      <c r="V138" s="7" t="str">
        <f t="shared" si="6"/>
        <v>09/26/2019</v>
      </c>
      <c r="W138" s="6" t="s">
        <v>44</v>
      </c>
    </row>
    <row r="139" spans="1:24" x14ac:dyDescent="0.25">
      <c r="A139" t="s">
        <v>24</v>
      </c>
      <c r="B139" s="7" t="s">
        <v>824</v>
      </c>
      <c r="C139" s="7" t="s">
        <v>278</v>
      </c>
      <c r="D139" s="7" t="s">
        <v>35</v>
      </c>
      <c r="E139" s="7" t="s">
        <v>26</v>
      </c>
      <c r="F139" s="7" t="s">
        <v>28</v>
      </c>
      <c r="G139" s="7"/>
      <c r="H139" s="7" t="s">
        <v>28</v>
      </c>
      <c r="I139" s="13" t="s">
        <v>36</v>
      </c>
      <c r="J139" s="13" t="str">
        <f t="shared" si="5"/>
        <v>2019</v>
      </c>
      <c r="K139" s="13" t="s">
        <v>87</v>
      </c>
      <c r="L139" s="13" t="s">
        <v>37</v>
      </c>
      <c r="M139" s="13" t="s">
        <v>37</v>
      </c>
      <c r="N139" s="13" t="s">
        <v>845</v>
      </c>
      <c r="O139" s="14" t="s">
        <v>846</v>
      </c>
      <c r="P139" s="7" t="s">
        <v>847</v>
      </c>
      <c r="Q139" s="7" t="s">
        <v>829</v>
      </c>
      <c r="R139" s="7" t="s">
        <v>830</v>
      </c>
      <c r="S139" s="7" t="s">
        <v>848</v>
      </c>
      <c r="T139" s="7" t="s">
        <v>43</v>
      </c>
      <c r="U139" s="7">
        <v>568897</v>
      </c>
      <c r="V139" s="7" t="str">
        <f t="shared" si="6"/>
        <v>09/26/2019</v>
      </c>
      <c r="W139" s="7" t="s">
        <v>44</v>
      </c>
      <c r="X139" s="7" t="s">
        <v>849</v>
      </c>
    </row>
    <row r="140" spans="1:24" s="7" customFormat="1" x14ac:dyDescent="0.25">
      <c r="A140" t="s">
        <v>24</v>
      </c>
      <c r="B140" s="7" t="s">
        <v>824</v>
      </c>
      <c r="C140" s="7" t="s">
        <v>850</v>
      </c>
      <c r="D140" s="7" t="s">
        <v>35</v>
      </c>
      <c r="E140" s="7" t="s">
        <v>26</v>
      </c>
      <c r="F140" s="7" t="s">
        <v>28</v>
      </c>
      <c r="H140" s="7" t="s">
        <v>28</v>
      </c>
      <c r="I140" s="13" t="s">
        <v>36</v>
      </c>
      <c r="J140" s="13" t="str">
        <f t="shared" si="5"/>
        <v>2019</v>
      </c>
      <c r="K140" s="13" t="s">
        <v>87</v>
      </c>
      <c r="L140" s="13" t="s">
        <v>37</v>
      </c>
      <c r="M140" s="13" t="s">
        <v>37</v>
      </c>
      <c r="N140" s="13" t="s">
        <v>826</v>
      </c>
      <c r="O140" s="11" t="s">
        <v>851</v>
      </c>
      <c r="P140" s="6" t="s">
        <v>852</v>
      </c>
      <c r="Q140" s="6" t="s">
        <v>829</v>
      </c>
      <c r="R140" s="6" t="s">
        <v>830</v>
      </c>
      <c r="S140" s="6" t="s">
        <v>853</v>
      </c>
      <c r="T140" s="6" t="s">
        <v>43</v>
      </c>
      <c r="U140" s="6">
        <v>568898</v>
      </c>
      <c r="V140" s="7" t="str">
        <f t="shared" si="6"/>
        <v>09/26/2019</v>
      </c>
      <c r="W140" s="6" t="s">
        <v>44</v>
      </c>
    </row>
    <row r="141" spans="1:24" hidden="1" x14ac:dyDescent="0.25">
      <c r="A141" t="s">
        <v>24</v>
      </c>
      <c r="B141" t="s">
        <v>824</v>
      </c>
      <c r="C141" t="s">
        <v>854</v>
      </c>
      <c r="D141" t="s">
        <v>35</v>
      </c>
      <c r="E141" t="s">
        <v>26</v>
      </c>
      <c r="F141" t="s">
        <v>26</v>
      </c>
      <c r="G141" t="s">
        <v>27</v>
      </c>
      <c r="H141" t="s">
        <v>28</v>
      </c>
      <c r="I141" s="3" t="s">
        <v>36</v>
      </c>
      <c r="J141" s="3" t="str">
        <f t="shared" si="5"/>
        <v>2019</v>
      </c>
      <c r="K141" s="3"/>
      <c r="L141" s="3"/>
      <c r="M141" s="3"/>
      <c r="N141" s="3"/>
      <c r="O141" s="2" t="s">
        <v>855</v>
      </c>
      <c r="P141" t="s">
        <v>856</v>
      </c>
      <c r="Q141" t="s">
        <v>829</v>
      </c>
      <c r="R141" t="s">
        <v>830</v>
      </c>
      <c r="S141" t="s">
        <v>857</v>
      </c>
      <c r="T141" t="s">
        <v>43</v>
      </c>
      <c r="U141">
        <v>568891</v>
      </c>
      <c r="V141" t="str">
        <f t="shared" si="6"/>
        <v>09/26/2019</v>
      </c>
      <c r="W141" t="s">
        <v>44</v>
      </c>
    </row>
    <row r="142" spans="1:24" hidden="1" x14ac:dyDescent="0.25">
      <c r="A142" t="s">
        <v>24</v>
      </c>
      <c r="B142" t="s">
        <v>824</v>
      </c>
      <c r="C142" t="s">
        <v>858</v>
      </c>
      <c r="D142" t="s">
        <v>35</v>
      </c>
      <c r="E142" t="s">
        <v>26</v>
      </c>
      <c r="F142" t="s">
        <v>26</v>
      </c>
      <c r="G142" t="s">
        <v>27</v>
      </c>
      <c r="H142" t="s">
        <v>28</v>
      </c>
      <c r="I142" s="3" t="s">
        <v>36</v>
      </c>
      <c r="J142" s="3" t="str">
        <f t="shared" si="5"/>
        <v>2019</v>
      </c>
      <c r="K142" s="3"/>
      <c r="L142" s="3"/>
      <c r="M142" s="3"/>
      <c r="N142" s="3"/>
      <c r="O142" s="2" t="s">
        <v>859</v>
      </c>
      <c r="P142" t="s">
        <v>860</v>
      </c>
      <c r="Q142" t="s">
        <v>829</v>
      </c>
      <c r="R142" t="s">
        <v>830</v>
      </c>
      <c r="S142" t="s">
        <v>861</v>
      </c>
      <c r="T142" t="s">
        <v>43</v>
      </c>
      <c r="U142">
        <v>568894</v>
      </c>
      <c r="V142" t="str">
        <f t="shared" si="6"/>
        <v>09/26/2019</v>
      </c>
      <c r="W142" t="s">
        <v>44</v>
      </c>
    </row>
    <row r="143" spans="1:24" x14ac:dyDescent="0.25">
      <c r="A143" t="s">
        <v>24</v>
      </c>
      <c r="B143" t="s">
        <v>862</v>
      </c>
      <c r="C143" t="s">
        <v>863</v>
      </c>
      <c r="D143" t="s">
        <v>107</v>
      </c>
      <c r="E143" t="s">
        <v>26</v>
      </c>
      <c r="F143" t="s">
        <v>28</v>
      </c>
      <c r="I143" s="3" t="s">
        <v>864</v>
      </c>
      <c r="J143" s="3" t="str">
        <f t="shared" si="5"/>
        <v>2023</v>
      </c>
      <c r="K143" s="3" t="s">
        <v>402</v>
      </c>
      <c r="L143" s="15" t="s">
        <v>865</v>
      </c>
      <c r="M143" s="3" t="s">
        <v>866</v>
      </c>
      <c r="N143" s="3"/>
      <c r="O143" s="2" t="s">
        <v>867</v>
      </c>
      <c r="P143" t="s">
        <v>868</v>
      </c>
      <c r="Q143" t="s">
        <v>869</v>
      </c>
      <c r="R143" t="s">
        <v>870</v>
      </c>
      <c r="S143" t="s">
        <v>871</v>
      </c>
      <c r="T143" t="s">
        <v>43</v>
      </c>
      <c r="U143">
        <v>2255630</v>
      </c>
      <c r="V143" t="str">
        <f t="shared" si="6"/>
        <v>06/19/2023</v>
      </c>
      <c r="W143" t="s">
        <v>44</v>
      </c>
      <c r="X143" t="s">
        <v>872</v>
      </c>
    </row>
    <row r="144" spans="1:24" hidden="1" x14ac:dyDescent="0.25">
      <c r="A144" t="s">
        <v>24</v>
      </c>
      <c r="B144" t="s">
        <v>862</v>
      </c>
      <c r="C144" t="s">
        <v>873</v>
      </c>
      <c r="D144" t="s">
        <v>107</v>
      </c>
      <c r="E144" t="s">
        <v>26</v>
      </c>
      <c r="F144" t="s">
        <v>26</v>
      </c>
      <c r="G144" t="s">
        <v>27</v>
      </c>
      <c r="H144" t="s">
        <v>28</v>
      </c>
      <c r="I144" s="3" t="s">
        <v>874</v>
      </c>
      <c r="J144" s="3" t="str">
        <f t="shared" si="5"/>
        <v>2021</v>
      </c>
      <c r="K144" s="3"/>
      <c r="L144" s="3"/>
      <c r="M144" s="3"/>
      <c r="N144" s="3"/>
      <c r="O144" s="2" t="s">
        <v>875</v>
      </c>
      <c r="P144" t="s">
        <v>876</v>
      </c>
      <c r="Q144" t="s">
        <v>869</v>
      </c>
      <c r="R144" t="s">
        <v>870</v>
      </c>
      <c r="S144" t="s">
        <v>877</v>
      </c>
      <c r="T144" t="s">
        <v>43</v>
      </c>
      <c r="U144">
        <v>2255607</v>
      </c>
      <c r="V144" t="str">
        <f t="shared" si="6"/>
        <v>05/18/2021</v>
      </c>
      <c r="W144" t="s">
        <v>44</v>
      </c>
      <c r="X144" t="s">
        <v>878</v>
      </c>
    </row>
    <row r="145" spans="1:24" hidden="1" x14ac:dyDescent="0.25">
      <c r="A145" t="s">
        <v>24</v>
      </c>
      <c r="B145" t="s">
        <v>862</v>
      </c>
      <c r="C145" t="s">
        <v>879</v>
      </c>
      <c r="D145" t="s">
        <v>107</v>
      </c>
      <c r="E145" t="s">
        <v>26</v>
      </c>
      <c r="F145" t="s">
        <v>26</v>
      </c>
      <c r="G145" t="s">
        <v>27</v>
      </c>
      <c r="H145" t="s">
        <v>28</v>
      </c>
      <c r="I145" s="3" t="s">
        <v>880</v>
      </c>
      <c r="J145" s="3" t="str">
        <f t="shared" si="5"/>
        <v>2020</v>
      </c>
      <c r="K145" s="3"/>
      <c r="L145" s="3"/>
      <c r="M145" s="3"/>
      <c r="N145" s="3"/>
      <c r="O145" s="2" t="s">
        <v>881</v>
      </c>
      <c r="P145" t="s">
        <v>882</v>
      </c>
      <c r="Q145" t="s">
        <v>869</v>
      </c>
      <c r="R145" t="s">
        <v>870</v>
      </c>
      <c r="S145" t="s">
        <v>883</v>
      </c>
      <c r="T145" t="s">
        <v>43</v>
      </c>
      <c r="U145">
        <v>2255589</v>
      </c>
      <c r="V145" t="str">
        <f t="shared" si="6"/>
        <v>10/22/2020</v>
      </c>
      <c r="W145" t="s">
        <v>44</v>
      </c>
      <c r="X145" t="s">
        <v>884</v>
      </c>
    </row>
    <row r="146" spans="1:24" x14ac:dyDescent="0.25">
      <c r="A146" t="s">
        <v>24</v>
      </c>
      <c r="B146" t="s">
        <v>862</v>
      </c>
      <c r="C146" t="s">
        <v>122</v>
      </c>
      <c r="D146" t="s">
        <v>107</v>
      </c>
      <c r="E146" t="s">
        <v>28</v>
      </c>
      <c r="F146" t="s">
        <v>28</v>
      </c>
      <c r="I146" s="3">
        <v>45201</v>
      </c>
      <c r="J146" s="3" t="str">
        <f t="shared" si="5"/>
        <v>5201</v>
      </c>
      <c r="K146" s="3"/>
      <c r="L146" s="15" t="s">
        <v>885</v>
      </c>
      <c r="M146" s="3" t="s">
        <v>886</v>
      </c>
      <c r="N146" s="3"/>
      <c r="O146" s="2" t="s">
        <v>887</v>
      </c>
      <c r="P146" t="s">
        <v>888</v>
      </c>
      <c r="Q146" t="s">
        <v>869</v>
      </c>
      <c r="R146" t="s">
        <v>870</v>
      </c>
      <c r="S146" t="s">
        <v>889</v>
      </c>
      <c r="T146" t="s">
        <v>43</v>
      </c>
      <c r="U146">
        <v>2255631</v>
      </c>
      <c r="V146" t="str">
        <f t="shared" si="6"/>
        <v>10/02/2023</v>
      </c>
      <c r="W146" t="s">
        <v>44</v>
      </c>
      <c r="X146" t="s">
        <v>890</v>
      </c>
    </row>
    <row r="147" spans="1:24" x14ac:dyDescent="0.25">
      <c r="A147" t="s">
        <v>24</v>
      </c>
      <c r="B147" t="s">
        <v>862</v>
      </c>
      <c r="C147" t="s">
        <v>891</v>
      </c>
      <c r="D147" t="s">
        <v>107</v>
      </c>
      <c r="E147" t="s">
        <v>28</v>
      </c>
      <c r="F147" t="s">
        <v>28</v>
      </c>
      <c r="I147" s="3" t="s">
        <v>892</v>
      </c>
      <c r="J147" s="3" t="str">
        <f t="shared" si="5"/>
        <v>2023</v>
      </c>
      <c r="K147" s="3" t="s">
        <v>893</v>
      </c>
      <c r="L147" t="s">
        <v>37</v>
      </c>
      <c r="M147" s="15" t="s">
        <v>894</v>
      </c>
      <c r="N147" s="3"/>
      <c r="O147" s="2" t="s">
        <v>895</v>
      </c>
      <c r="P147" t="s">
        <v>896</v>
      </c>
      <c r="Q147" t="s">
        <v>869</v>
      </c>
      <c r="R147" t="s">
        <v>870</v>
      </c>
      <c r="S147" t="s">
        <v>897</v>
      </c>
      <c r="T147" t="s">
        <v>43</v>
      </c>
      <c r="U147">
        <v>2255640</v>
      </c>
      <c r="V147" t="str">
        <f t="shared" si="6"/>
        <v>11/15/2023</v>
      </c>
      <c r="W147" t="s">
        <v>44</v>
      </c>
      <c r="X147" t="s">
        <v>898</v>
      </c>
    </row>
    <row r="148" spans="1:24" x14ac:dyDescent="0.25">
      <c r="A148" t="s">
        <v>24</v>
      </c>
      <c r="B148" t="s">
        <v>862</v>
      </c>
      <c r="C148" t="s">
        <v>899</v>
      </c>
      <c r="D148" t="s">
        <v>35</v>
      </c>
      <c r="E148" t="s">
        <v>28</v>
      </c>
      <c r="F148" t="s">
        <v>28</v>
      </c>
      <c r="I148" s="3" t="s">
        <v>36</v>
      </c>
      <c r="J148" s="3" t="str">
        <f t="shared" si="5"/>
        <v>2019</v>
      </c>
      <c r="K148" s="3"/>
      <c r="L148" t="s">
        <v>37</v>
      </c>
      <c r="M148" s="16" t="s">
        <v>900</v>
      </c>
      <c r="N148" s="3"/>
      <c r="O148" s="2" t="s">
        <v>901</v>
      </c>
      <c r="P148" t="s">
        <v>902</v>
      </c>
      <c r="Q148" t="s">
        <v>869</v>
      </c>
      <c r="R148" t="s">
        <v>870</v>
      </c>
      <c r="S148" t="s">
        <v>903</v>
      </c>
      <c r="T148" t="s">
        <v>43</v>
      </c>
      <c r="U148">
        <v>2255453</v>
      </c>
      <c r="V148" t="str">
        <f t="shared" si="6"/>
        <v>09/26/2019</v>
      </c>
      <c r="W148" t="s">
        <v>44</v>
      </c>
    </row>
    <row r="149" spans="1:24" x14ac:dyDescent="0.25">
      <c r="A149" t="s">
        <v>24</v>
      </c>
      <c r="B149" t="s">
        <v>862</v>
      </c>
      <c r="C149" t="s">
        <v>904</v>
      </c>
      <c r="D149" t="s">
        <v>35</v>
      </c>
      <c r="E149" t="s">
        <v>28</v>
      </c>
      <c r="F149" t="s">
        <v>28</v>
      </c>
      <c r="I149" s="3" t="s">
        <v>36</v>
      </c>
      <c r="J149" s="3" t="str">
        <f t="shared" si="5"/>
        <v>2019</v>
      </c>
      <c r="K149" s="3" t="s">
        <v>905</v>
      </c>
      <c r="L149" s="15" t="s">
        <v>906</v>
      </c>
      <c r="M149" s="15" t="s">
        <v>907</v>
      </c>
      <c r="N149" s="3" t="s">
        <v>908</v>
      </c>
      <c r="O149" s="2" t="s">
        <v>909</v>
      </c>
      <c r="P149" t="s">
        <v>910</v>
      </c>
      <c r="Q149" t="s">
        <v>869</v>
      </c>
      <c r="R149" t="s">
        <v>870</v>
      </c>
      <c r="S149" t="s">
        <v>911</v>
      </c>
      <c r="T149" t="s">
        <v>43</v>
      </c>
      <c r="U149">
        <v>2255454</v>
      </c>
      <c r="V149" t="str">
        <f t="shared" si="6"/>
        <v>09/26/2019</v>
      </c>
      <c r="W149" t="s">
        <v>44</v>
      </c>
    </row>
    <row r="150" spans="1:24" x14ac:dyDescent="0.25">
      <c r="A150" t="s">
        <v>24</v>
      </c>
      <c r="B150" t="s">
        <v>862</v>
      </c>
      <c r="C150" t="s">
        <v>517</v>
      </c>
      <c r="D150" t="s">
        <v>35</v>
      </c>
      <c r="E150" t="s">
        <v>28</v>
      </c>
      <c r="F150" t="s">
        <v>28</v>
      </c>
      <c r="I150" s="3" t="s">
        <v>36</v>
      </c>
      <c r="J150" s="3" t="str">
        <f t="shared" si="5"/>
        <v>2019</v>
      </c>
      <c r="K150" s="3"/>
      <c r="L150" s="3" t="s">
        <v>37</v>
      </c>
      <c r="M150" s="16" t="s">
        <v>900</v>
      </c>
      <c r="N150" s="3"/>
      <c r="O150" s="2" t="s">
        <v>912</v>
      </c>
      <c r="P150" t="s">
        <v>913</v>
      </c>
      <c r="Q150" t="s">
        <v>869</v>
      </c>
      <c r="R150" t="s">
        <v>870</v>
      </c>
      <c r="S150" t="s">
        <v>914</v>
      </c>
      <c r="T150" t="s">
        <v>43</v>
      </c>
      <c r="U150">
        <v>2255455</v>
      </c>
      <c r="V150" t="str">
        <f t="shared" si="6"/>
        <v>09/26/2019</v>
      </c>
      <c r="W150" t="s">
        <v>44</v>
      </c>
      <c r="X150" t="s">
        <v>915</v>
      </c>
    </row>
    <row r="151" spans="1:24" x14ac:dyDescent="0.25">
      <c r="A151" t="s">
        <v>24</v>
      </c>
      <c r="B151" t="s">
        <v>862</v>
      </c>
      <c r="C151" t="s">
        <v>916</v>
      </c>
      <c r="D151" t="s">
        <v>35</v>
      </c>
      <c r="E151" t="s">
        <v>28</v>
      </c>
      <c r="F151" t="s">
        <v>28</v>
      </c>
      <c r="I151" s="3" t="s">
        <v>36</v>
      </c>
      <c r="J151" s="3" t="str">
        <f t="shared" si="5"/>
        <v>2019</v>
      </c>
      <c r="K151" s="3"/>
      <c r="L151" s="15" t="s">
        <v>917</v>
      </c>
      <c r="M151" s="16" t="s">
        <v>918</v>
      </c>
      <c r="N151" s="3"/>
      <c r="O151" s="2" t="s">
        <v>919</v>
      </c>
      <c r="P151" t="s">
        <v>920</v>
      </c>
      <c r="Q151" t="s">
        <v>869</v>
      </c>
      <c r="R151" t="s">
        <v>870</v>
      </c>
      <c r="S151" t="s">
        <v>921</v>
      </c>
      <c r="T151" t="s">
        <v>43</v>
      </c>
      <c r="U151">
        <v>2255456</v>
      </c>
      <c r="V151" t="str">
        <f t="shared" si="6"/>
        <v>09/26/2019</v>
      </c>
      <c r="W151" t="s">
        <v>44</v>
      </c>
    </row>
    <row r="152" spans="1:24" x14ac:dyDescent="0.25">
      <c r="A152" t="s">
        <v>24</v>
      </c>
      <c r="B152" t="s">
        <v>862</v>
      </c>
      <c r="C152" t="s">
        <v>922</v>
      </c>
      <c r="D152" t="s">
        <v>35</v>
      </c>
      <c r="E152" t="s">
        <v>28</v>
      </c>
      <c r="F152" t="s">
        <v>28</v>
      </c>
      <c r="I152" s="3" t="s">
        <v>36</v>
      </c>
      <c r="J152" s="3" t="str">
        <f t="shared" si="5"/>
        <v>2019</v>
      </c>
      <c r="K152" s="3"/>
      <c r="L152" s="3" t="s">
        <v>37</v>
      </c>
      <c r="M152" s="16" t="s">
        <v>923</v>
      </c>
      <c r="N152" s="3"/>
      <c r="O152" s="2" t="s">
        <v>924</v>
      </c>
      <c r="P152" t="s">
        <v>925</v>
      </c>
      <c r="Q152" t="s">
        <v>869</v>
      </c>
      <c r="R152" t="s">
        <v>870</v>
      </c>
      <c r="S152" t="s">
        <v>926</v>
      </c>
      <c r="T152" t="s">
        <v>43</v>
      </c>
      <c r="U152">
        <v>2255457</v>
      </c>
      <c r="V152" t="str">
        <f t="shared" si="6"/>
        <v>09/26/2019</v>
      </c>
      <c r="W152" t="s">
        <v>44</v>
      </c>
      <c r="X152" t="s">
        <v>927</v>
      </c>
    </row>
    <row r="153" spans="1:24" x14ac:dyDescent="0.25">
      <c r="A153" t="s">
        <v>24</v>
      </c>
      <c r="B153" t="s">
        <v>862</v>
      </c>
      <c r="C153" t="s">
        <v>928</v>
      </c>
      <c r="D153" t="s">
        <v>107</v>
      </c>
      <c r="E153" t="s">
        <v>28</v>
      </c>
      <c r="F153" t="s">
        <v>28</v>
      </c>
      <c r="I153" s="3" t="s">
        <v>929</v>
      </c>
      <c r="J153" s="3" t="str">
        <f t="shared" si="5"/>
        <v>2021</v>
      </c>
      <c r="K153" s="3"/>
      <c r="L153" s="3" t="s">
        <v>37</v>
      </c>
      <c r="M153" s="3" t="s">
        <v>930</v>
      </c>
      <c r="N153" s="3"/>
      <c r="O153" s="2" t="s">
        <v>931</v>
      </c>
      <c r="P153" t="s">
        <v>932</v>
      </c>
      <c r="Q153" t="s">
        <v>869</v>
      </c>
      <c r="R153" t="s">
        <v>870</v>
      </c>
      <c r="S153" t="s">
        <v>933</v>
      </c>
      <c r="T153" t="s">
        <v>43</v>
      </c>
      <c r="U153">
        <v>2255618</v>
      </c>
      <c r="V153" t="str">
        <f t="shared" si="6"/>
        <v>11/18/2021</v>
      </c>
      <c r="W153" t="s">
        <v>44</v>
      </c>
      <c r="X153" t="s">
        <v>934</v>
      </c>
    </row>
    <row r="154" spans="1:24" x14ac:dyDescent="0.25">
      <c r="A154" t="s">
        <v>24</v>
      </c>
      <c r="B154" t="s">
        <v>862</v>
      </c>
      <c r="C154" t="s">
        <v>935</v>
      </c>
      <c r="D154" t="s">
        <v>35</v>
      </c>
      <c r="E154" t="s">
        <v>28</v>
      </c>
      <c r="F154" t="s">
        <v>28</v>
      </c>
      <c r="I154" s="3" t="s">
        <v>36</v>
      </c>
      <c r="J154" s="3" t="str">
        <f t="shared" si="5"/>
        <v>2019</v>
      </c>
      <c r="K154" s="3"/>
      <c r="L154" s="15" t="s">
        <v>936</v>
      </c>
      <c r="M154" s="16" t="s">
        <v>937</v>
      </c>
      <c r="N154" s="3"/>
      <c r="O154" s="2" t="s">
        <v>938</v>
      </c>
      <c r="P154" t="s">
        <v>939</v>
      </c>
      <c r="Q154" t="s">
        <v>869</v>
      </c>
      <c r="R154" t="s">
        <v>870</v>
      </c>
      <c r="S154" t="s">
        <v>940</v>
      </c>
      <c r="T154" t="s">
        <v>43</v>
      </c>
      <c r="U154">
        <v>2255459</v>
      </c>
      <c r="V154" t="str">
        <f t="shared" si="6"/>
        <v>09/26/2019</v>
      </c>
      <c r="W154" t="s">
        <v>44</v>
      </c>
      <c r="X154" t="s">
        <v>941</v>
      </c>
    </row>
    <row r="155" spans="1:24" x14ac:dyDescent="0.25">
      <c r="A155" t="s">
        <v>24</v>
      </c>
      <c r="B155" t="s">
        <v>862</v>
      </c>
      <c r="C155" t="s">
        <v>942</v>
      </c>
      <c r="D155" t="s">
        <v>107</v>
      </c>
      <c r="E155" t="s">
        <v>28</v>
      </c>
      <c r="F155" t="s">
        <v>28</v>
      </c>
      <c r="I155" s="3" t="s">
        <v>943</v>
      </c>
      <c r="J155" s="3" t="str">
        <f t="shared" si="5"/>
        <v>2021</v>
      </c>
      <c r="K155" s="3"/>
      <c r="L155" s="3" t="s">
        <v>37</v>
      </c>
      <c r="M155" s="3" t="s">
        <v>944</v>
      </c>
      <c r="N155" s="3"/>
      <c r="O155" s="2" t="s">
        <v>945</v>
      </c>
      <c r="P155" t="s">
        <v>946</v>
      </c>
      <c r="Q155" t="s">
        <v>869</v>
      </c>
      <c r="R155" t="s">
        <v>870</v>
      </c>
      <c r="S155" t="s">
        <v>947</v>
      </c>
      <c r="T155" t="s">
        <v>43</v>
      </c>
      <c r="U155">
        <v>2255616</v>
      </c>
      <c r="V155" t="str">
        <f t="shared" si="6"/>
        <v>06/17/2021</v>
      </c>
      <c r="W155" t="s">
        <v>44</v>
      </c>
      <c r="X155" t="s">
        <v>948</v>
      </c>
    </row>
    <row r="156" spans="1:24" x14ac:dyDescent="0.25">
      <c r="A156" t="s">
        <v>24</v>
      </c>
      <c r="B156" s="7" t="s">
        <v>862</v>
      </c>
      <c r="C156" s="7" t="s">
        <v>949</v>
      </c>
      <c r="D156" s="7" t="s">
        <v>35</v>
      </c>
      <c r="E156" s="7" t="s">
        <v>28</v>
      </c>
      <c r="F156" s="7" t="s">
        <v>28</v>
      </c>
      <c r="G156" s="7"/>
      <c r="H156" s="7"/>
      <c r="I156" s="13" t="s">
        <v>36</v>
      </c>
      <c r="J156" s="13" t="str">
        <f t="shared" si="5"/>
        <v>2019</v>
      </c>
      <c r="K156" s="13"/>
      <c r="L156" s="13"/>
      <c r="M156" s="13" t="s">
        <v>37</v>
      </c>
      <c r="N156" s="13"/>
      <c r="O156" s="14" t="s">
        <v>950</v>
      </c>
      <c r="P156" s="7" t="s">
        <v>951</v>
      </c>
      <c r="Q156" s="7" t="s">
        <v>869</v>
      </c>
      <c r="R156" s="7" t="s">
        <v>870</v>
      </c>
      <c r="S156" s="7" t="s">
        <v>952</v>
      </c>
      <c r="T156" s="7" t="s">
        <v>43</v>
      </c>
      <c r="U156" s="7">
        <v>2255458</v>
      </c>
      <c r="V156" s="7" t="str">
        <f t="shared" si="6"/>
        <v>09/26/2019</v>
      </c>
      <c r="W156" s="7" t="s">
        <v>44</v>
      </c>
      <c r="X156" s="7"/>
    </row>
    <row r="157" spans="1:24" x14ac:dyDescent="0.25">
      <c r="A157" t="s">
        <v>24</v>
      </c>
      <c r="B157" t="s">
        <v>862</v>
      </c>
      <c r="C157" t="s">
        <v>953</v>
      </c>
      <c r="D157" t="s">
        <v>107</v>
      </c>
      <c r="E157" t="s">
        <v>28</v>
      </c>
      <c r="F157" t="s">
        <v>28</v>
      </c>
      <c r="I157" s="3" t="s">
        <v>954</v>
      </c>
      <c r="J157" s="3" t="str">
        <f t="shared" si="5"/>
        <v>2020</v>
      </c>
      <c r="K157" s="3"/>
      <c r="L157" s="3" t="s">
        <v>37</v>
      </c>
      <c r="M157" s="3" t="s">
        <v>955</v>
      </c>
      <c r="N157" s="3"/>
      <c r="O157" s="2" t="s">
        <v>956</v>
      </c>
      <c r="P157" t="s">
        <v>957</v>
      </c>
      <c r="Q157" t="s">
        <v>869</v>
      </c>
      <c r="R157" t="s">
        <v>870</v>
      </c>
      <c r="S157" t="s">
        <v>958</v>
      </c>
      <c r="T157" t="s">
        <v>43</v>
      </c>
      <c r="U157">
        <v>2255533</v>
      </c>
      <c r="V157" t="str">
        <f t="shared" si="6"/>
        <v>03/30/2020</v>
      </c>
      <c r="W157" t="s">
        <v>44</v>
      </c>
    </row>
    <row r="158" spans="1:24" x14ac:dyDescent="0.25">
      <c r="A158" t="s">
        <v>24</v>
      </c>
      <c r="B158" s="7" t="s">
        <v>862</v>
      </c>
      <c r="C158" s="7" t="s">
        <v>959</v>
      </c>
      <c r="D158" s="7" t="s">
        <v>35</v>
      </c>
      <c r="E158" s="7" t="s">
        <v>28</v>
      </c>
      <c r="F158" s="7" t="s">
        <v>28</v>
      </c>
      <c r="G158" s="7"/>
      <c r="H158" s="7"/>
      <c r="I158" s="13" t="s">
        <v>36</v>
      </c>
      <c r="J158" s="13" t="str">
        <f t="shared" si="5"/>
        <v>2019</v>
      </c>
      <c r="K158" s="13"/>
      <c r="L158" s="13"/>
      <c r="M158" s="13" t="s">
        <v>37</v>
      </c>
      <c r="N158" s="13"/>
      <c r="O158" s="14" t="s">
        <v>960</v>
      </c>
      <c r="P158" s="7" t="s">
        <v>961</v>
      </c>
      <c r="Q158" s="7" t="s">
        <v>869</v>
      </c>
      <c r="R158" s="7" t="s">
        <v>870</v>
      </c>
      <c r="S158" s="7" t="s">
        <v>962</v>
      </c>
      <c r="T158" s="7" t="s">
        <v>43</v>
      </c>
      <c r="U158" s="7">
        <v>2255460</v>
      </c>
      <c r="V158" s="7" t="str">
        <f t="shared" si="6"/>
        <v>09/26/2019</v>
      </c>
      <c r="W158" s="7" t="s">
        <v>44</v>
      </c>
      <c r="X158" s="7" t="s">
        <v>878</v>
      </c>
    </row>
    <row r="159" spans="1:24" x14ac:dyDescent="0.25">
      <c r="A159" t="s">
        <v>24</v>
      </c>
      <c r="B159" t="s">
        <v>862</v>
      </c>
      <c r="C159" t="s">
        <v>963</v>
      </c>
      <c r="D159" t="s">
        <v>107</v>
      </c>
      <c r="E159" t="s">
        <v>28</v>
      </c>
      <c r="F159" t="s">
        <v>28</v>
      </c>
      <c r="I159" s="3" t="s">
        <v>964</v>
      </c>
      <c r="J159" s="3" t="str">
        <f t="shared" si="5"/>
        <v>2020</v>
      </c>
      <c r="K159" s="3"/>
      <c r="L159" s="3" t="s">
        <v>37</v>
      </c>
      <c r="M159" s="3" t="s">
        <v>965</v>
      </c>
      <c r="N159" s="3"/>
      <c r="O159" s="2" t="s">
        <v>966</v>
      </c>
      <c r="P159" t="s">
        <v>967</v>
      </c>
      <c r="Q159" t="s">
        <v>869</v>
      </c>
      <c r="R159" t="s">
        <v>870</v>
      </c>
      <c r="S159" t="s">
        <v>968</v>
      </c>
      <c r="T159" t="s">
        <v>43</v>
      </c>
      <c r="U159">
        <v>2255543</v>
      </c>
      <c r="V159" t="str">
        <f t="shared" si="6"/>
        <v>06/25/2020</v>
      </c>
      <c r="W159" t="s">
        <v>44</v>
      </c>
      <c r="X159" t="s">
        <v>969</v>
      </c>
    </row>
    <row r="160" spans="1:24" x14ac:dyDescent="0.25">
      <c r="A160" t="s">
        <v>24</v>
      </c>
      <c r="B160" t="s">
        <v>862</v>
      </c>
      <c r="C160" t="s">
        <v>970</v>
      </c>
      <c r="D160" t="s">
        <v>107</v>
      </c>
      <c r="E160" t="s">
        <v>28</v>
      </c>
      <c r="F160" t="s">
        <v>28</v>
      </c>
      <c r="I160" s="3" t="s">
        <v>964</v>
      </c>
      <c r="J160" s="3" t="str">
        <f t="shared" si="5"/>
        <v>2020</v>
      </c>
      <c r="K160" s="3"/>
      <c r="L160" s="3" t="s">
        <v>37</v>
      </c>
      <c r="M160" s="3" t="s">
        <v>965</v>
      </c>
      <c r="N160" s="3"/>
      <c r="O160" s="2" t="s">
        <v>971</v>
      </c>
      <c r="P160" t="s">
        <v>972</v>
      </c>
      <c r="Q160" t="s">
        <v>869</v>
      </c>
      <c r="R160" t="s">
        <v>870</v>
      </c>
      <c r="S160" t="s">
        <v>973</v>
      </c>
      <c r="T160" t="s">
        <v>43</v>
      </c>
      <c r="U160">
        <v>2255570</v>
      </c>
      <c r="V160" t="str">
        <f t="shared" si="6"/>
        <v>06/25/2020</v>
      </c>
      <c r="W160" t="s">
        <v>44</v>
      </c>
      <c r="X160" t="s">
        <v>974</v>
      </c>
    </row>
    <row r="161" spans="1:24" x14ac:dyDescent="0.25">
      <c r="A161" t="s">
        <v>24</v>
      </c>
      <c r="B161" t="s">
        <v>862</v>
      </c>
      <c r="C161" t="s">
        <v>975</v>
      </c>
      <c r="D161" t="s">
        <v>107</v>
      </c>
      <c r="E161" t="s">
        <v>28</v>
      </c>
      <c r="F161" t="s">
        <v>28</v>
      </c>
      <c r="I161" s="3" t="s">
        <v>964</v>
      </c>
      <c r="J161" s="3" t="str">
        <f t="shared" si="5"/>
        <v>2020</v>
      </c>
      <c r="K161" s="3"/>
      <c r="L161" s="3" t="s">
        <v>37</v>
      </c>
      <c r="M161" s="3" t="s">
        <v>965</v>
      </c>
      <c r="N161" s="3"/>
      <c r="O161" s="2" t="s">
        <v>976</v>
      </c>
      <c r="P161" t="s">
        <v>977</v>
      </c>
      <c r="Q161" t="s">
        <v>869</v>
      </c>
      <c r="R161" t="s">
        <v>870</v>
      </c>
      <c r="S161" t="s">
        <v>978</v>
      </c>
      <c r="T161" t="s">
        <v>43</v>
      </c>
      <c r="U161">
        <v>2255561</v>
      </c>
      <c r="V161" t="str">
        <f t="shared" si="6"/>
        <v>06/25/2020</v>
      </c>
      <c r="W161" t="s">
        <v>44</v>
      </c>
      <c r="X161" t="s">
        <v>979</v>
      </c>
    </row>
    <row r="162" spans="1:24" x14ac:dyDescent="0.25">
      <c r="A162" t="s">
        <v>24</v>
      </c>
      <c r="B162" t="s">
        <v>862</v>
      </c>
      <c r="C162" t="s">
        <v>980</v>
      </c>
      <c r="D162" t="s">
        <v>107</v>
      </c>
      <c r="E162" t="s">
        <v>28</v>
      </c>
      <c r="F162" t="s">
        <v>28</v>
      </c>
      <c r="I162" s="3" t="s">
        <v>954</v>
      </c>
      <c r="J162" s="3" t="str">
        <f t="shared" si="5"/>
        <v>2020</v>
      </c>
      <c r="K162" s="3"/>
      <c r="L162" s="3" t="s">
        <v>37</v>
      </c>
      <c r="M162" s="3" t="s">
        <v>965</v>
      </c>
      <c r="N162" s="3"/>
      <c r="O162" s="2" t="s">
        <v>981</v>
      </c>
      <c r="P162" t="s">
        <v>982</v>
      </c>
      <c r="Q162" t="s">
        <v>869</v>
      </c>
      <c r="R162" t="s">
        <v>870</v>
      </c>
      <c r="S162" t="s">
        <v>983</v>
      </c>
      <c r="T162" t="s">
        <v>43</v>
      </c>
      <c r="U162">
        <v>2255524</v>
      </c>
      <c r="V162" t="str">
        <f t="shared" si="6"/>
        <v>03/30/2020</v>
      </c>
      <c r="W162" t="s">
        <v>44</v>
      </c>
      <c r="X162" t="s">
        <v>984</v>
      </c>
    </row>
    <row r="163" spans="1:24" x14ac:dyDescent="0.25">
      <c r="A163" t="s">
        <v>24</v>
      </c>
      <c r="B163" t="s">
        <v>862</v>
      </c>
      <c r="C163" t="s">
        <v>985</v>
      </c>
      <c r="D163" t="s">
        <v>107</v>
      </c>
      <c r="E163" t="s">
        <v>28</v>
      </c>
      <c r="F163" t="s">
        <v>28</v>
      </c>
      <c r="I163" s="3" t="s">
        <v>964</v>
      </c>
      <c r="J163" s="3" t="str">
        <f t="shared" si="5"/>
        <v>2020</v>
      </c>
      <c r="K163" s="3"/>
      <c r="L163" s="3" t="s">
        <v>37</v>
      </c>
      <c r="M163" s="3" t="s">
        <v>965</v>
      </c>
      <c r="N163" s="3"/>
      <c r="O163" s="2" t="s">
        <v>986</v>
      </c>
      <c r="P163" t="s">
        <v>987</v>
      </c>
      <c r="Q163" t="s">
        <v>869</v>
      </c>
      <c r="R163" t="s">
        <v>870</v>
      </c>
      <c r="S163" t="s">
        <v>988</v>
      </c>
      <c r="T163" t="s">
        <v>43</v>
      </c>
      <c r="U163">
        <v>2255552</v>
      </c>
      <c r="V163" t="str">
        <f t="shared" si="6"/>
        <v>06/25/2020</v>
      </c>
      <c r="W163" t="s">
        <v>44</v>
      </c>
    </row>
    <row r="164" spans="1:24" x14ac:dyDescent="0.25">
      <c r="A164" t="s">
        <v>24</v>
      </c>
      <c r="B164" t="s">
        <v>862</v>
      </c>
      <c r="C164" t="s">
        <v>989</v>
      </c>
      <c r="D164" t="s">
        <v>107</v>
      </c>
      <c r="E164" t="s">
        <v>28</v>
      </c>
      <c r="F164" t="s">
        <v>28</v>
      </c>
      <c r="I164" s="3" t="s">
        <v>990</v>
      </c>
      <c r="J164" s="3" t="str">
        <f t="shared" si="5"/>
        <v>2019</v>
      </c>
      <c r="K164" s="3"/>
      <c r="L164" s="3" t="s">
        <v>37</v>
      </c>
      <c r="M164" s="16" t="s">
        <v>991</v>
      </c>
      <c r="N164" s="3"/>
      <c r="O164" s="2" t="s">
        <v>992</v>
      </c>
      <c r="P164" t="s">
        <v>993</v>
      </c>
      <c r="Q164" t="s">
        <v>869</v>
      </c>
      <c r="R164" t="s">
        <v>870</v>
      </c>
      <c r="S164" t="s">
        <v>994</v>
      </c>
      <c r="T164" t="s">
        <v>43</v>
      </c>
      <c r="U164">
        <v>2255523</v>
      </c>
      <c r="V164" t="str">
        <f t="shared" si="6"/>
        <v>11/05/2019</v>
      </c>
      <c r="W164" t="s">
        <v>44</v>
      </c>
    </row>
    <row r="165" spans="1:24" x14ac:dyDescent="0.25">
      <c r="A165" t="s">
        <v>24</v>
      </c>
      <c r="B165" t="s">
        <v>862</v>
      </c>
      <c r="C165" t="s">
        <v>969</v>
      </c>
      <c r="D165" t="s">
        <v>107</v>
      </c>
      <c r="E165" t="s">
        <v>28</v>
      </c>
      <c r="F165" t="s">
        <v>28</v>
      </c>
      <c r="I165" s="3" t="s">
        <v>995</v>
      </c>
      <c r="J165" s="3" t="str">
        <f t="shared" si="5"/>
        <v>2019</v>
      </c>
      <c r="K165" s="3"/>
      <c r="L165" s="3" t="s">
        <v>37</v>
      </c>
      <c r="M165" s="16" t="s">
        <v>996</v>
      </c>
      <c r="N165" s="3"/>
      <c r="O165" s="2" t="s">
        <v>997</v>
      </c>
      <c r="P165" t="s">
        <v>998</v>
      </c>
      <c r="Q165" t="s">
        <v>869</v>
      </c>
      <c r="R165" t="s">
        <v>870</v>
      </c>
      <c r="S165" t="s">
        <v>999</v>
      </c>
      <c r="T165" t="s">
        <v>43</v>
      </c>
      <c r="U165">
        <v>2255496</v>
      </c>
      <c r="V165" t="str">
        <f t="shared" si="6"/>
        <v>10/23/2019</v>
      </c>
      <c r="W165" t="s">
        <v>44</v>
      </c>
      <c r="X165" t="s">
        <v>1000</v>
      </c>
    </row>
    <row r="166" spans="1:24" x14ac:dyDescent="0.25">
      <c r="A166" t="s">
        <v>24</v>
      </c>
      <c r="B166" t="s">
        <v>862</v>
      </c>
      <c r="C166" t="s">
        <v>1001</v>
      </c>
      <c r="D166" t="s">
        <v>107</v>
      </c>
      <c r="E166" t="s">
        <v>28</v>
      </c>
      <c r="F166" t="s">
        <v>28</v>
      </c>
      <c r="I166" s="3" t="s">
        <v>995</v>
      </c>
      <c r="J166" s="3" t="str">
        <f t="shared" si="5"/>
        <v>2019</v>
      </c>
      <c r="K166" s="3"/>
      <c r="L166" s="3" t="s">
        <v>37</v>
      </c>
      <c r="M166" s="16" t="s">
        <v>1002</v>
      </c>
      <c r="N166" s="3"/>
      <c r="O166" s="2" t="s">
        <v>1003</v>
      </c>
      <c r="P166" t="s">
        <v>1004</v>
      </c>
      <c r="Q166" t="s">
        <v>869</v>
      </c>
      <c r="R166" t="s">
        <v>870</v>
      </c>
      <c r="S166" t="s">
        <v>1005</v>
      </c>
      <c r="T166" t="s">
        <v>43</v>
      </c>
      <c r="U166">
        <v>2255505</v>
      </c>
      <c r="V166" t="str">
        <f t="shared" si="6"/>
        <v>10/23/2019</v>
      </c>
      <c r="W166" t="s">
        <v>44</v>
      </c>
      <c r="X166" t="s">
        <v>1006</v>
      </c>
    </row>
    <row r="167" spans="1:24" x14ac:dyDescent="0.25">
      <c r="A167" t="s">
        <v>24</v>
      </c>
      <c r="B167" s="17" t="s">
        <v>1007</v>
      </c>
      <c r="C167" s="17" t="s">
        <v>1008</v>
      </c>
      <c r="D167" s="17" t="s">
        <v>107</v>
      </c>
      <c r="E167" s="17" t="s">
        <v>26</v>
      </c>
      <c r="F167" s="17" t="s">
        <v>28</v>
      </c>
      <c r="G167" s="17" t="s">
        <v>1009</v>
      </c>
      <c r="H167" s="17" t="s">
        <v>280</v>
      </c>
      <c r="I167" s="18" t="s">
        <v>1010</v>
      </c>
      <c r="J167" s="18" t="str">
        <f t="shared" si="5"/>
        <v>2020</v>
      </c>
      <c r="K167" s="18" t="s">
        <v>1009</v>
      </c>
      <c r="L167" s="18" t="s">
        <v>37</v>
      </c>
      <c r="M167" s="18" t="s">
        <v>37</v>
      </c>
      <c r="N167" s="18"/>
      <c r="O167" s="19" t="s">
        <v>1011</v>
      </c>
      <c r="P167" s="17" t="s">
        <v>1012</v>
      </c>
      <c r="Q167" s="17" t="s">
        <v>1013</v>
      </c>
      <c r="R167" s="17" t="s">
        <v>1014</v>
      </c>
      <c r="S167" s="17" t="s">
        <v>1015</v>
      </c>
      <c r="T167" s="17" t="s">
        <v>43</v>
      </c>
      <c r="U167" s="17">
        <v>84754</v>
      </c>
      <c r="V167" s="17" t="str">
        <f t="shared" si="6"/>
        <v>01/29/2020</v>
      </c>
      <c r="W167" s="17" t="s">
        <v>44</v>
      </c>
      <c r="X167" s="17"/>
    </row>
    <row r="168" spans="1:24" hidden="1" x14ac:dyDescent="0.25">
      <c r="A168" t="s">
        <v>24</v>
      </c>
      <c r="B168" t="s">
        <v>862</v>
      </c>
      <c r="C168" t="s">
        <v>1016</v>
      </c>
      <c r="D168" t="s">
        <v>35</v>
      </c>
      <c r="E168" t="s">
        <v>26</v>
      </c>
      <c r="F168" t="s">
        <v>26</v>
      </c>
      <c r="G168" t="s">
        <v>27</v>
      </c>
      <c r="H168" t="s">
        <v>28</v>
      </c>
      <c r="I168" s="3" t="s">
        <v>36</v>
      </c>
      <c r="J168" s="3" t="str">
        <f t="shared" si="5"/>
        <v>2019</v>
      </c>
      <c r="K168" s="3"/>
      <c r="L168" s="3"/>
      <c r="M168" s="3"/>
      <c r="N168" s="3"/>
      <c r="O168" s="2" t="s">
        <v>1017</v>
      </c>
      <c r="P168" t="s">
        <v>1018</v>
      </c>
      <c r="Q168" t="s">
        <v>869</v>
      </c>
      <c r="R168" t="s">
        <v>870</v>
      </c>
      <c r="S168" t="s">
        <v>1019</v>
      </c>
      <c r="T168" t="s">
        <v>43</v>
      </c>
      <c r="U168">
        <v>2255451</v>
      </c>
      <c r="V168" t="str">
        <f t="shared" si="6"/>
        <v>09/26/2019</v>
      </c>
      <c r="W168" t="s">
        <v>44</v>
      </c>
      <c r="X168" t="s">
        <v>1020</v>
      </c>
    </row>
    <row r="169" spans="1:24" x14ac:dyDescent="0.25">
      <c r="A169" t="s">
        <v>24</v>
      </c>
      <c r="B169" s="17" t="s">
        <v>1007</v>
      </c>
      <c r="C169" s="17" t="s">
        <v>1021</v>
      </c>
      <c r="D169" s="17" t="s">
        <v>107</v>
      </c>
      <c r="E169" s="17" t="s">
        <v>26</v>
      </c>
      <c r="F169" s="17" t="s">
        <v>28</v>
      </c>
      <c r="G169" s="17" t="s">
        <v>1009</v>
      </c>
      <c r="H169" s="17" t="s">
        <v>280</v>
      </c>
      <c r="I169" s="18" t="s">
        <v>1022</v>
      </c>
      <c r="J169" s="18" t="str">
        <f t="shared" si="5"/>
        <v>2020</v>
      </c>
      <c r="K169" s="18" t="s">
        <v>1009</v>
      </c>
      <c r="L169" s="18" t="s">
        <v>37</v>
      </c>
      <c r="M169" s="18" t="s">
        <v>37</v>
      </c>
      <c r="N169" s="18"/>
      <c r="O169" s="19" t="s">
        <v>1023</v>
      </c>
      <c r="P169" s="17" t="s">
        <v>1024</v>
      </c>
      <c r="Q169" s="17" t="s">
        <v>1013</v>
      </c>
      <c r="R169" s="17" t="s">
        <v>1014</v>
      </c>
      <c r="S169" s="17" t="s">
        <v>1025</v>
      </c>
      <c r="T169" s="17" t="s">
        <v>43</v>
      </c>
      <c r="U169" s="17">
        <v>84697</v>
      </c>
      <c r="V169" s="17" t="str">
        <f t="shared" si="6"/>
        <v>01/27/2020</v>
      </c>
      <c r="W169" s="17" t="s">
        <v>44</v>
      </c>
      <c r="X169" s="17"/>
    </row>
    <row r="170" spans="1:24" x14ac:dyDescent="0.25">
      <c r="A170" t="s">
        <v>24</v>
      </c>
      <c r="B170" s="17" t="s">
        <v>1007</v>
      </c>
      <c r="C170" s="17" t="s">
        <v>1026</v>
      </c>
      <c r="D170" s="17" t="s">
        <v>107</v>
      </c>
      <c r="E170" s="17" t="s">
        <v>26</v>
      </c>
      <c r="F170" s="17" t="s">
        <v>28</v>
      </c>
      <c r="G170" s="17" t="s">
        <v>1009</v>
      </c>
      <c r="H170" s="17" t="s">
        <v>280</v>
      </c>
      <c r="I170" s="18" t="s">
        <v>1022</v>
      </c>
      <c r="J170" s="18" t="str">
        <f t="shared" si="5"/>
        <v>2020</v>
      </c>
      <c r="K170" s="18" t="s">
        <v>1009</v>
      </c>
      <c r="L170" s="18" t="s">
        <v>37</v>
      </c>
      <c r="M170" s="18" t="s">
        <v>37</v>
      </c>
      <c r="N170" s="18"/>
      <c r="O170" s="19" t="s">
        <v>1027</v>
      </c>
      <c r="P170" s="17" t="s">
        <v>1028</v>
      </c>
      <c r="Q170" s="17" t="s">
        <v>1013</v>
      </c>
      <c r="R170" s="17" t="s">
        <v>1014</v>
      </c>
      <c r="S170" s="17" t="s">
        <v>1029</v>
      </c>
      <c r="T170" s="17" t="s">
        <v>43</v>
      </c>
      <c r="U170" s="17">
        <v>84717</v>
      </c>
      <c r="V170" s="17" t="str">
        <f t="shared" si="6"/>
        <v>01/27/2020</v>
      </c>
      <c r="W170" s="17" t="s">
        <v>44</v>
      </c>
      <c r="X170" s="17"/>
    </row>
    <row r="171" spans="1:24" x14ac:dyDescent="0.25">
      <c r="A171" t="s">
        <v>24</v>
      </c>
      <c r="B171" s="17" t="s">
        <v>1007</v>
      </c>
      <c r="C171" s="17" t="s">
        <v>1030</v>
      </c>
      <c r="D171" s="17" t="s">
        <v>107</v>
      </c>
      <c r="E171" s="17" t="s">
        <v>26</v>
      </c>
      <c r="F171" s="17" t="s">
        <v>28</v>
      </c>
      <c r="G171" s="17" t="s">
        <v>1009</v>
      </c>
      <c r="H171" s="17" t="s">
        <v>280</v>
      </c>
      <c r="I171" s="18" t="s">
        <v>1031</v>
      </c>
      <c r="J171" s="18" t="str">
        <f t="shared" si="5"/>
        <v>2020</v>
      </c>
      <c r="K171" s="18" t="s">
        <v>1009</v>
      </c>
      <c r="L171" s="18" t="s">
        <v>37</v>
      </c>
      <c r="M171" s="18" t="s">
        <v>37</v>
      </c>
      <c r="N171" s="18"/>
      <c r="O171" s="19" t="s">
        <v>1032</v>
      </c>
      <c r="P171" s="17" t="s">
        <v>1033</v>
      </c>
      <c r="Q171" s="17" t="s">
        <v>1013</v>
      </c>
      <c r="R171" s="17" t="s">
        <v>1014</v>
      </c>
      <c r="S171" s="17" t="s">
        <v>1034</v>
      </c>
      <c r="T171" s="17" t="s">
        <v>43</v>
      </c>
      <c r="U171" s="17">
        <v>84640</v>
      </c>
      <c r="V171" s="17" t="str">
        <f t="shared" si="6"/>
        <v>01/24/2020</v>
      </c>
      <c r="W171" s="17" t="s">
        <v>44</v>
      </c>
      <c r="X171" s="17" t="s">
        <v>1035</v>
      </c>
    </row>
    <row r="172" spans="1:24" hidden="1" x14ac:dyDescent="0.25">
      <c r="A172" t="s">
        <v>24</v>
      </c>
      <c r="B172" t="s">
        <v>1007</v>
      </c>
      <c r="C172" t="s">
        <v>1036</v>
      </c>
      <c r="D172" t="s">
        <v>35</v>
      </c>
      <c r="E172" s="17" t="s">
        <v>26</v>
      </c>
      <c r="F172" t="s">
        <v>26</v>
      </c>
      <c r="G172" t="s">
        <v>37</v>
      </c>
      <c r="H172" t="s">
        <v>28</v>
      </c>
      <c r="I172" s="3" t="s">
        <v>1037</v>
      </c>
      <c r="J172" s="3" t="str">
        <f t="shared" si="5"/>
        <v>2020</v>
      </c>
      <c r="K172" s="18" t="s">
        <v>1009</v>
      </c>
      <c r="L172" s="3"/>
      <c r="M172" s="3"/>
      <c r="N172" s="3"/>
      <c r="O172" s="2" t="s">
        <v>1038</v>
      </c>
      <c r="P172" t="s">
        <v>1039</v>
      </c>
      <c r="Q172" t="s">
        <v>1013</v>
      </c>
      <c r="R172" t="s">
        <v>1014</v>
      </c>
      <c r="S172" t="s">
        <v>1040</v>
      </c>
      <c r="T172" t="s">
        <v>43</v>
      </c>
      <c r="U172">
        <v>84620</v>
      </c>
      <c r="V172" t="str">
        <f t="shared" si="6"/>
        <v>01/22/2020</v>
      </c>
      <c r="W172" t="s">
        <v>44</v>
      </c>
      <c r="X172" t="s">
        <v>1041</v>
      </c>
    </row>
    <row r="173" spans="1:24" s="17" customFormat="1" x14ac:dyDescent="0.25">
      <c r="A173" t="s">
        <v>24</v>
      </c>
      <c r="B173" s="17" t="s">
        <v>1007</v>
      </c>
      <c r="C173" s="17" t="s">
        <v>1042</v>
      </c>
      <c r="D173" s="17" t="s">
        <v>107</v>
      </c>
      <c r="E173" s="17" t="s">
        <v>26</v>
      </c>
      <c r="F173" s="17" t="s">
        <v>28</v>
      </c>
      <c r="G173" s="17" t="s">
        <v>1009</v>
      </c>
      <c r="H173" s="17" t="s">
        <v>280</v>
      </c>
      <c r="I173" s="18" t="s">
        <v>1031</v>
      </c>
      <c r="J173" s="18" t="str">
        <f t="shared" si="5"/>
        <v>2020</v>
      </c>
      <c r="K173" s="18" t="s">
        <v>1009</v>
      </c>
      <c r="L173" s="18" t="s">
        <v>37</v>
      </c>
      <c r="M173" s="18" t="s">
        <v>37</v>
      </c>
      <c r="N173" s="18"/>
      <c r="O173" s="19" t="s">
        <v>1043</v>
      </c>
      <c r="P173" s="17" t="s">
        <v>1044</v>
      </c>
      <c r="Q173" s="17" t="s">
        <v>1013</v>
      </c>
      <c r="R173" s="17" t="s">
        <v>1014</v>
      </c>
      <c r="S173" s="17" t="s">
        <v>1045</v>
      </c>
      <c r="T173" s="17" t="s">
        <v>43</v>
      </c>
      <c r="U173" s="17">
        <v>84652</v>
      </c>
      <c r="V173" s="17" t="str">
        <f t="shared" si="6"/>
        <v>01/24/2020</v>
      </c>
      <c r="W173" s="17" t="s">
        <v>44</v>
      </c>
      <c r="X173" s="17" t="s">
        <v>1046</v>
      </c>
    </row>
    <row r="174" spans="1:24" s="17" customFormat="1" x14ac:dyDescent="0.25">
      <c r="A174" t="s">
        <v>24</v>
      </c>
      <c r="B174" s="17" t="s">
        <v>1007</v>
      </c>
      <c r="C174" s="17" t="s">
        <v>1047</v>
      </c>
      <c r="D174" s="17" t="s">
        <v>107</v>
      </c>
      <c r="E174" s="17" t="s">
        <v>26</v>
      </c>
      <c r="F174" s="17" t="s">
        <v>28</v>
      </c>
      <c r="G174" s="17" t="s">
        <v>1009</v>
      </c>
      <c r="H174" s="17" t="s">
        <v>280</v>
      </c>
      <c r="I174" s="18" t="s">
        <v>1022</v>
      </c>
      <c r="J174" s="18" t="str">
        <f t="shared" si="5"/>
        <v>2020</v>
      </c>
      <c r="K174" s="18" t="s">
        <v>1009</v>
      </c>
      <c r="L174" s="18" t="s">
        <v>37</v>
      </c>
      <c r="M174" s="18" t="s">
        <v>37</v>
      </c>
      <c r="N174" s="18"/>
      <c r="O174" s="19" t="s">
        <v>1048</v>
      </c>
      <c r="P174" s="17" t="s">
        <v>1049</v>
      </c>
      <c r="Q174" s="17" t="s">
        <v>1013</v>
      </c>
      <c r="R174" s="17" t="s">
        <v>1014</v>
      </c>
      <c r="S174" s="17" t="s">
        <v>1050</v>
      </c>
      <c r="T174" s="17" t="s">
        <v>43</v>
      </c>
      <c r="U174" s="17">
        <v>84735</v>
      </c>
      <c r="V174" s="17" t="str">
        <f t="shared" si="6"/>
        <v>01/27/2020</v>
      </c>
      <c r="W174" s="17" t="s">
        <v>44</v>
      </c>
      <c r="X174" s="17" t="s">
        <v>1051</v>
      </c>
    </row>
    <row r="175" spans="1:24" s="17" customFormat="1" x14ac:dyDescent="0.25">
      <c r="A175" t="s">
        <v>24</v>
      </c>
      <c r="B175" s="17" t="s">
        <v>1007</v>
      </c>
      <c r="C175" s="17" t="s">
        <v>1052</v>
      </c>
      <c r="D175" s="17" t="s">
        <v>107</v>
      </c>
      <c r="E175" s="17" t="s">
        <v>26</v>
      </c>
      <c r="F175" s="17" t="s">
        <v>28</v>
      </c>
      <c r="G175" s="17" t="s">
        <v>1009</v>
      </c>
      <c r="H175" s="17" t="s">
        <v>280</v>
      </c>
      <c r="I175" s="18" t="s">
        <v>1022</v>
      </c>
      <c r="J175" s="18" t="str">
        <f t="shared" si="5"/>
        <v>2020</v>
      </c>
      <c r="K175" s="18" t="s">
        <v>1009</v>
      </c>
      <c r="L175" s="18" t="s">
        <v>37</v>
      </c>
      <c r="M175" s="18" t="s">
        <v>37</v>
      </c>
      <c r="N175" s="18"/>
      <c r="O175" s="19" t="s">
        <v>1053</v>
      </c>
      <c r="P175" s="17" t="s">
        <v>1054</v>
      </c>
      <c r="Q175" s="17" t="s">
        <v>1013</v>
      </c>
      <c r="R175" s="17" t="s">
        <v>1014</v>
      </c>
      <c r="S175" s="17" t="s">
        <v>1055</v>
      </c>
      <c r="T175" s="17" t="s">
        <v>43</v>
      </c>
      <c r="U175" s="17">
        <v>84683</v>
      </c>
      <c r="V175" s="17" t="str">
        <f t="shared" si="6"/>
        <v>01/27/2020</v>
      </c>
      <c r="W175" s="17" t="s">
        <v>44</v>
      </c>
      <c r="X175" s="17" t="s">
        <v>1056</v>
      </c>
    </row>
    <row r="176" spans="1:24" s="17" customFormat="1" x14ac:dyDescent="0.25">
      <c r="A176" t="s">
        <v>24</v>
      </c>
      <c r="B176" s="17" t="s">
        <v>1007</v>
      </c>
      <c r="C176" s="17" t="s">
        <v>1057</v>
      </c>
      <c r="D176" s="17" t="s">
        <v>107</v>
      </c>
      <c r="E176" s="17" t="s">
        <v>26</v>
      </c>
      <c r="F176" s="17" t="s">
        <v>28</v>
      </c>
      <c r="G176" s="17" t="s">
        <v>1009</v>
      </c>
      <c r="H176" s="17" t="s">
        <v>280</v>
      </c>
      <c r="I176" s="18" t="s">
        <v>1037</v>
      </c>
      <c r="J176" s="18" t="str">
        <f t="shared" si="5"/>
        <v>2020</v>
      </c>
      <c r="K176" s="18" t="s">
        <v>1009</v>
      </c>
      <c r="L176" s="18" t="s">
        <v>37</v>
      </c>
      <c r="M176" s="18" t="s">
        <v>37</v>
      </c>
      <c r="N176" s="18"/>
      <c r="O176" s="19" t="s">
        <v>1058</v>
      </c>
      <c r="P176" s="17" t="s">
        <v>1059</v>
      </c>
      <c r="Q176" s="17" t="s">
        <v>1013</v>
      </c>
      <c r="R176" s="17" t="s">
        <v>1014</v>
      </c>
      <c r="S176" s="17" t="s">
        <v>1060</v>
      </c>
      <c r="T176" s="17" t="s">
        <v>43</v>
      </c>
      <c r="U176" s="17">
        <v>84622</v>
      </c>
      <c r="V176" s="17" t="str">
        <f t="shared" si="6"/>
        <v>01/22/2020</v>
      </c>
      <c r="W176" s="17" t="s">
        <v>44</v>
      </c>
      <c r="X176" s="17" t="s">
        <v>1061</v>
      </c>
    </row>
    <row r="177" spans="1:24" s="17" customFormat="1" x14ac:dyDescent="0.25">
      <c r="A177" t="s">
        <v>24</v>
      </c>
      <c r="B177" s="17" t="s">
        <v>1007</v>
      </c>
      <c r="C177" s="17" t="s">
        <v>1062</v>
      </c>
      <c r="D177" s="17" t="s">
        <v>107</v>
      </c>
      <c r="E177" s="17" t="s">
        <v>26</v>
      </c>
      <c r="F177" s="17" t="s">
        <v>28</v>
      </c>
      <c r="G177" s="17" t="s">
        <v>1009</v>
      </c>
      <c r="H177" s="17" t="s">
        <v>280</v>
      </c>
      <c r="I177" s="18" t="s">
        <v>1022</v>
      </c>
      <c r="J177" s="18" t="str">
        <f t="shared" si="5"/>
        <v>2020</v>
      </c>
      <c r="K177" s="18" t="s">
        <v>1009</v>
      </c>
      <c r="L177" s="18" t="s">
        <v>37</v>
      </c>
      <c r="M177" s="18" t="s">
        <v>37</v>
      </c>
      <c r="N177" s="18"/>
      <c r="O177" s="19" t="s">
        <v>1063</v>
      </c>
      <c r="P177" s="17" t="s">
        <v>1064</v>
      </c>
      <c r="Q177" s="17" t="s">
        <v>1013</v>
      </c>
      <c r="R177" s="17" t="s">
        <v>1014</v>
      </c>
      <c r="S177" s="17" t="s">
        <v>1065</v>
      </c>
      <c r="T177" s="17" t="s">
        <v>43</v>
      </c>
      <c r="U177" s="17">
        <v>84663</v>
      </c>
      <c r="V177" s="17" t="str">
        <f t="shared" si="6"/>
        <v>01/27/2020</v>
      </c>
      <c r="W177" s="17" t="s">
        <v>44</v>
      </c>
      <c r="X177" s="17" t="s">
        <v>1066</v>
      </c>
    </row>
    <row r="178" spans="1:24" s="17" customFormat="1" x14ac:dyDescent="0.25">
      <c r="A178" t="s">
        <v>24</v>
      </c>
      <c r="B178" s="17" t="s">
        <v>1007</v>
      </c>
      <c r="C178" s="17" t="s">
        <v>1067</v>
      </c>
      <c r="D178" s="17" t="s">
        <v>107</v>
      </c>
      <c r="E178" s="17" t="s">
        <v>26</v>
      </c>
      <c r="F178" s="17" t="s">
        <v>28</v>
      </c>
      <c r="G178" s="17" t="s">
        <v>1009</v>
      </c>
      <c r="H178" s="17" t="s">
        <v>280</v>
      </c>
      <c r="I178" s="18" t="s">
        <v>1022</v>
      </c>
      <c r="J178" s="18" t="str">
        <f t="shared" si="5"/>
        <v>2020</v>
      </c>
      <c r="K178" s="18" t="s">
        <v>1009</v>
      </c>
      <c r="L178" s="18" t="s">
        <v>37</v>
      </c>
      <c r="M178" s="18" t="s">
        <v>37</v>
      </c>
      <c r="N178" s="18"/>
      <c r="O178" s="19" t="s">
        <v>1068</v>
      </c>
      <c r="P178" s="17" t="s">
        <v>1069</v>
      </c>
      <c r="Q178" s="17" t="s">
        <v>1013</v>
      </c>
      <c r="R178" s="17" t="s">
        <v>1014</v>
      </c>
      <c r="S178" s="17" t="s">
        <v>1070</v>
      </c>
      <c r="T178" s="17" t="s">
        <v>43</v>
      </c>
      <c r="U178" s="17">
        <v>84708</v>
      </c>
      <c r="V178" s="17" t="str">
        <f t="shared" si="6"/>
        <v>01/27/2020</v>
      </c>
      <c r="W178" s="17" t="s">
        <v>44</v>
      </c>
    </row>
    <row r="179" spans="1:24" s="17" customFormat="1" x14ac:dyDescent="0.25">
      <c r="A179" t="s">
        <v>24</v>
      </c>
      <c r="B179" s="17" t="s">
        <v>1007</v>
      </c>
      <c r="C179" s="17" t="s">
        <v>1071</v>
      </c>
      <c r="D179" s="17" t="s">
        <v>107</v>
      </c>
      <c r="E179" s="17" t="s">
        <v>26</v>
      </c>
      <c r="F179" s="17" t="s">
        <v>28</v>
      </c>
      <c r="G179" s="17" t="s">
        <v>1009</v>
      </c>
      <c r="H179" s="17" t="s">
        <v>280</v>
      </c>
      <c r="I179" s="18" t="s">
        <v>1022</v>
      </c>
      <c r="J179" s="18" t="str">
        <f t="shared" si="5"/>
        <v>2020</v>
      </c>
      <c r="K179" s="18" t="s">
        <v>1009</v>
      </c>
      <c r="L179" s="18" t="s">
        <v>37</v>
      </c>
      <c r="M179" s="18" t="s">
        <v>37</v>
      </c>
      <c r="N179" s="18"/>
      <c r="O179" s="19" t="s">
        <v>1072</v>
      </c>
      <c r="P179" s="17" t="s">
        <v>1073</v>
      </c>
      <c r="Q179" s="17" t="s">
        <v>1013</v>
      </c>
      <c r="R179" s="17" t="s">
        <v>1014</v>
      </c>
      <c r="S179" s="17" t="s">
        <v>1074</v>
      </c>
      <c r="T179" s="17" t="s">
        <v>43</v>
      </c>
      <c r="U179" s="17">
        <v>84726</v>
      </c>
      <c r="V179" s="17" t="str">
        <f t="shared" si="6"/>
        <v>01/27/2020</v>
      </c>
      <c r="W179" s="17" t="s">
        <v>44</v>
      </c>
      <c r="X179" s="17" t="s">
        <v>1075</v>
      </c>
    </row>
    <row r="180" spans="1:24" s="17" customFormat="1" x14ac:dyDescent="0.25">
      <c r="A180" t="s">
        <v>24</v>
      </c>
      <c r="B180" s="17" t="s">
        <v>1007</v>
      </c>
      <c r="C180" s="17" t="s">
        <v>1076</v>
      </c>
      <c r="D180" s="17" t="s">
        <v>107</v>
      </c>
      <c r="E180" s="17" t="s">
        <v>26</v>
      </c>
      <c r="F180" s="17" t="s">
        <v>28</v>
      </c>
      <c r="G180" s="17" t="s">
        <v>1009</v>
      </c>
      <c r="H180" s="17" t="s">
        <v>280</v>
      </c>
      <c r="I180" s="18" t="s">
        <v>1010</v>
      </c>
      <c r="J180" s="18" t="str">
        <f t="shared" si="5"/>
        <v>2020</v>
      </c>
      <c r="K180" s="18" t="s">
        <v>1009</v>
      </c>
      <c r="L180" s="18" t="s">
        <v>37</v>
      </c>
      <c r="M180" s="18" t="s">
        <v>37</v>
      </c>
      <c r="N180" s="18"/>
      <c r="O180" s="19" t="s">
        <v>1077</v>
      </c>
      <c r="P180" s="17" t="s">
        <v>1078</v>
      </c>
      <c r="Q180" s="17" t="s">
        <v>1013</v>
      </c>
      <c r="R180" s="17" t="s">
        <v>1014</v>
      </c>
      <c r="S180" s="17" t="s">
        <v>1079</v>
      </c>
      <c r="T180" s="17" t="s">
        <v>43</v>
      </c>
      <c r="U180" s="17">
        <v>84745</v>
      </c>
      <c r="V180" s="17" t="str">
        <f t="shared" si="6"/>
        <v>01/29/2020</v>
      </c>
      <c r="W180" s="17" t="s">
        <v>44</v>
      </c>
      <c r="X180" s="17" t="s">
        <v>1080</v>
      </c>
    </row>
    <row r="181" spans="1:24" s="17" customFormat="1" x14ac:dyDescent="0.25">
      <c r="A181" t="s">
        <v>24</v>
      </c>
      <c r="B181" s="17" t="s">
        <v>1007</v>
      </c>
      <c r="C181" s="17" t="s">
        <v>1081</v>
      </c>
      <c r="D181" s="17" t="s">
        <v>107</v>
      </c>
      <c r="E181" s="17" t="s">
        <v>26</v>
      </c>
      <c r="F181" s="17" t="s">
        <v>28</v>
      </c>
      <c r="G181" s="17" t="s">
        <v>1009</v>
      </c>
      <c r="H181" s="17" t="s">
        <v>280</v>
      </c>
      <c r="I181" s="18" t="s">
        <v>1022</v>
      </c>
      <c r="J181" s="18" t="str">
        <f t="shared" si="5"/>
        <v>2020</v>
      </c>
      <c r="K181" s="18" t="s">
        <v>1009</v>
      </c>
      <c r="L181" s="18" t="s">
        <v>37</v>
      </c>
      <c r="M181" s="18" t="s">
        <v>37</v>
      </c>
      <c r="N181" s="18"/>
      <c r="O181" s="19" t="s">
        <v>1082</v>
      </c>
      <c r="P181" s="17" t="s">
        <v>1083</v>
      </c>
      <c r="Q181" s="17" t="s">
        <v>1013</v>
      </c>
      <c r="R181" s="17" t="s">
        <v>1014</v>
      </c>
      <c r="S181" s="17" t="s">
        <v>1084</v>
      </c>
      <c r="T181" s="17" t="s">
        <v>43</v>
      </c>
      <c r="U181" s="17">
        <v>84662</v>
      </c>
      <c r="V181" s="17" t="str">
        <f t="shared" si="6"/>
        <v>01/27/2020</v>
      </c>
      <c r="W181" s="17" t="s">
        <v>44</v>
      </c>
      <c r="X181" s="17" t="s">
        <v>1085</v>
      </c>
    </row>
    <row r="182" spans="1:24" hidden="1" x14ac:dyDescent="0.25">
      <c r="A182" t="s">
        <v>24</v>
      </c>
      <c r="B182" t="s">
        <v>1007</v>
      </c>
      <c r="C182" t="s">
        <v>1086</v>
      </c>
      <c r="D182" t="s">
        <v>107</v>
      </c>
      <c r="E182" t="s">
        <v>26</v>
      </c>
      <c r="F182" t="s">
        <v>26</v>
      </c>
      <c r="G182" t="s">
        <v>37</v>
      </c>
      <c r="H182" t="s">
        <v>28</v>
      </c>
      <c r="I182" s="3" t="s">
        <v>1087</v>
      </c>
      <c r="J182" s="3" t="str">
        <f t="shared" si="5"/>
        <v>2020</v>
      </c>
      <c r="K182" s="18" t="s">
        <v>1009</v>
      </c>
      <c r="L182" s="3"/>
      <c r="M182" s="3"/>
      <c r="N182" s="3"/>
      <c r="O182" s="2" t="s">
        <v>1088</v>
      </c>
      <c r="P182" t="s">
        <v>1089</v>
      </c>
      <c r="Q182" t="s">
        <v>1013</v>
      </c>
      <c r="R182" t="s">
        <v>1014</v>
      </c>
      <c r="S182" t="s">
        <v>1090</v>
      </c>
      <c r="T182" t="s">
        <v>43</v>
      </c>
      <c r="U182">
        <v>84772</v>
      </c>
      <c r="V182" t="str">
        <f t="shared" si="6"/>
        <v>04/25/2020</v>
      </c>
      <c r="W182" t="s">
        <v>44</v>
      </c>
    </row>
    <row r="183" spans="1:24" s="17" customFormat="1" x14ac:dyDescent="0.25">
      <c r="A183" t="s">
        <v>24</v>
      </c>
      <c r="B183" s="17" t="s">
        <v>1007</v>
      </c>
      <c r="C183" s="17" t="s">
        <v>1091</v>
      </c>
      <c r="D183" s="17" t="s">
        <v>35</v>
      </c>
      <c r="E183" s="17" t="s">
        <v>26</v>
      </c>
      <c r="F183" s="17" t="s">
        <v>28</v>
      </c>
      <c r="G183" s="17" t="s">
        <v>1009</v>
      </c>
      <c r="H183" s="17" t="s">
        <v>280</v>
      </c>
      <c r="I183" s="18" t="s">
        <v>1092</v>
      </c>
      <c r="J183" s="18" t="str">
        <f t="shared" si="5"/>
        <v>2020</v>
      </c>
      <c r="K183" s="18" t="s">
        <v>1009</v>
      </c>
      <c r="L183" s="18" t="s">
        <v>37</v>
      </c>
      <c r="M183" s="18" t="s">
        <v>37</v>
      </c>
      <c r="N183" s="18"/>
      <c r="O183" s="19" t="s">
        <v>1093</v>
      </c>
      <c r="P183" s="17" t="s">
        <v>1094</v>
      </c>
      <c r="Q183" s="17" t="s">
        <v>1013</v>
      </c>
      <c r="R183" s="17" t="s">
        <v>1014</v>
      </c>
      <c r="S183" s="17" t="s">
        <v>1095</v>
      </c>
      <c r="T183" s="17" t="s">
        <v>43</v>
      </c>
      <c r="U183" s="17">
        <v>84782</v>
      </c>
      <c r="V183" s="17" t="str">
        <f t="shared" si="6"/>
        <v>09/02/2020</v>
      </c>
      <c r="W183" s="17" t="s">
        <v>44</v>
      </c>
      <c r="X183" s="17" t="s">
        <v>1096</v>
      </c>
    </row>
    <row r="184" spans="1:24" s="17" customFormat="1" x14ac:dyDescent="0.25">
      <c r="A184" t="s">
        <v>24</v>
      </c>
      <c r="B184" s="17" t="s">
        <v>1007</v>
      </c>
      <c r="C184" s="17" t="s">
        <v>1097</v>
      </c>
      <c r="D184" s="17" t="s">
        <v>35</v>
      </c>
      <c r="E184" s="17" t="s">
        <v>26</v>
      </c>
      <c r="F184" s="17" t="s">
        <v>28</v>
      </c>
      <c r="G184" s="17" t="s">
        <v>1009</v>
      </c>
      <c r="H184" s="17" t="s">
        <v>280</v>
      </c>
      <c r="I184" s="18" t="s">
        <v>1022</v>
      </c>
      <c r="J184" s="18" t="str">
        <f t="shared" si="5"/>
        <v>2020</v>
      </c>
      <c r="K184" s="18" t="s">
        <v>1009</v>
      </c>
      <c r="L184" s="18" t="s">
        <v>37</v>
      </c>
      <c r="M184" s="18" t="s">
        <v>37</v>
      </c>
      <c r="N184" s="18"/>
      <c r="O184" s="19" t="s">
        <v>1098</v>
      </c>
      <c r="P184" s="17" t="s">
        <v>1099</v>
      </c>
      <c r="Q184" s="17" t="s">
        <v>1013</v>
      </c>
      <c r="R184" s="17" t="s">
        <v>1014</v>
      </c>
      <c r="S184" s="17" t="s">
        <v>1100</v>
      </c>
      <c r="T184" s="17" t="s">
        <v>43</v>
      </c>
      <c r="U184" s="17">
        <v>84699</v>
      </c>
      <c r="V184" s="17" t="str">
        <f t="shared" si="6"/>
        <v>01/27/2020</v>
      </c>
      <c r="W184" s="17" t="s">
        <v>44</v>
      </c>
      <c r="X184" s="17" t="s">
        <v>1101</v>
      </c>
    </row>
    <row r="185" spans="1:24" s="17" customFormat="1" x14ac:dyDescent="0.25">
      <c r="A185" t="s">
        <v>24</v>
      </c>
      <c r="B185" s="17" t="s">
        <v>1007</v>
      </c>
      <c r="C185" s="17" t="s">
        <v>1102</v>
      </c>
      <c r="D185" s="17" t="s">
        <v>107</v>
      </c>
      <c r="E185" s="17" t="s">
        <v>26</v>
      </c>
      <c r="F185" s="17" t="s">
        <v>28</v>
      </c>
      <c r="G185" s="17" t="s">
        <v>1009</v>
      </c>
      <c r="H185" s="17" t="s">
        <v>280</v>
      </c>
      <c r="I185" s="18" t="s">
        <v>1022</v>
      </c>
      <c r="J185" s="18" t="str">
        <f t="shared" si="5"/>
        <v>2020</v>
      </c>
      <c r="K185" s="18" t="s">
        <v>1009</v>
      </c>
      <c r="L185" s="18" t="s">
        <v>37</v>
      </c>
      <c r="M185" s="18" t="s">
        <v>37</v>
      </c>
      <c r="N185" s="18"/>
      <c r="O185" s="19" t="s">
        <v>1103</v>
      </c>
      <c r="P185" s="17" t="s">
        <v>1104</v>
      </c>
      <c r="Q185" s="17" t="s">
        <v>1013</v>
      </c>
      <c r="R185" s="17" t="s">
        <v>1014</v>
      </c>
      <c r="S185" s="17" t="s">
        <v>1105</v>
      </c>
      <c r="T185" s="17" t="s">
        <v>43</v>
      </c>
      <c r="U185" s="17">
        <v>84672</v>
      </c>
      <c r="V185" s="17" t="str">
        <f t="shared" si="6"/>
        <v>01/27/2020</v>
      </c>
      <c r="W185" s="17" t="s">
        <v>44</v>
      </c>
    </row>
    <row r="186" spans="1:24" s="17" customFormat="1" x14ac:dyDescent="0.25">
      <c r="A186" t="s">
        <v>24</v>
      </c>
      <c r="B186" s="17" t="s">
        <v>1007</v>
      </c>
      <c r="C186" s="17" t="s">
        <v>1106</v>
      </c>
      <c r="D186" s="17" t="s">
        <v>107</v>
      </c>
      <c r="E186" s="17" t="s">
        <v>26</v>
      </c>
      <c r="F186" s="17" t="s">
        <v>28</v>
      </c>
      <c r="G186" s="17" t="s">
        <v>1009</v>
      </c>
      <c r="H186" s="17" t="s">
        <v>280</v>
      </c>
      <c r="I186" s="18" t="s">
        <v>1107</v>
      </c>
      <c r="J186" s="18" t="str">
        <f t="shared" si="5"/>
        <v>2020</v>
      </c>
      <c r="K186" s="18" t="s">
        <v>1009</v>
      </c>
      <c r="L186" s="18" t="s">
        <v>37</v>
      </c>
      <c r="M186" s="18" t="s">
        <v>37</v>
      </c>
      <c r="N186" s="18"/>
      <c r="O186" s="19" t="s">
        <v>1108</v>
      </c>
      <c r="P186" s="17" t="s">
        <v>1109</v>
      </c>
      <c r="Q186" s="17" t="s">
        <v>1013</v>
      </c>
      <c r="R186" s="17" t="s">
        <v>1014</v>
      </c>
      <c r="S186" s="17" t="s">
        <v>1110</v>
      </c>
      <c r="T186" s="17" t="s">
        <v>43</v>
      </c>
      <c r="U186" s="17">
        <v>84781</v>
      </c>
      <c r="V186" s="17" t="str">
        <f t="shared" si="6"/>
        <v>05/18/2020</v>
      </c>
      <c r="W186" s="17" t="s">
        <v>44</v>
      </c>
      <c r="X186" s="17" t="s">
        <v>1111</v>
      </c>
    </row>
    <row r="187" spans="1:24" s="17" customFormat="1" x14ac:dyDescent="0.25">
      <c r="A187" t="s">
        <v>24</v>
      </c>
      <c r="B187" s="17" t="s">
        <v>1007</v>
      </c>
      <c r="C187" s="17" t="s">
        <v>1112</v>
      </c>
      <c r="D187" s="17" t="s">
        <v>107</v>
      </c>
      <c r="E187" s="17" t="s">
        <v>26</v>
      </c>
      <c r="F187" s="17" t="s">
        <v>28</v>
      </c>
      <c r="G187" s="17" t="s">
        <v>1009</v>
      </c>
      <c r="H187" s="17" t="s">
        <v>280</v>
      </c>
      <c r="I187" s="18" t="s">
        <v>1113</v>
      </c>
      <c r="J187" s="18" t="str">
        <f t="shared" si="5"/>
        <v>2020</v>
      </c>
      <c r="K187" s="18" t="s">
        <v>1009</v>
      </c>
      <c r="L187" s="18" t="s">
        <v>37</v>
      </c>
      <c r="M187" s="18" t="s">
        <v>37</v>
      </c>
      <c r="N187" s="18"/>
      <c r="O187" s="19" t="s">
        <v>1114</v>
      </c>
      <c r="P187" s="17" t="s">
        <v>1115</v>
      </c>
      <c r="Q187" s="17" t="s">
        <v>1013</v>
      </c>
      <c r="R187" s="17" t="s">
        <v>1014</v>
      </c>
      <c r="S187" s="17" t="s">
        <v>1116</v>
      </c>
      <c r="T187" s="17" t="s">
        <v>43</v>
      </c>
      <c r="U187" s="17">
        <v>84763</v>
      </c>
      <c r="V187" s="17" t="str">
        <f t="shared" si="6"/>
        <v>02/11/2020</v>
      </c>
      <c r="W187" s="17" t="s">
        <v>44</v>
      </c>
      <c r="X187" s="17" t="s">
        <v>1117</v>
      </c>
    </row>
    <row r="188" spans="1:24" s="17" customFormat="1" x14ac:dyDescent="0.25">
      <c r="A188" t="s">
        <v>24</v>
      </c>
      <c r="B188" s="17" t="s">
        <v>1007</v>
      </c>
      <c r="C188" s="17" t="s">
        <v>1118</v>
      </c>
      <c r="D188" s="17" t="s">
        <v>107</v>
      </c>
      <c r="E188" s="17" t="s">
        <v>26</v>
      </c>
      <c r="F188" s="17" t="s">
        <v>28</v>
      </c>
      <c r="G188" s="17" t="s">
        <v>1009</v>
      </c>
      <c r="H188" s="17" t="s">
        <v>280</v>
      </c>
      <c r="I188" s="18" t="s">
        <v>1031</v>
      </c>
      <c r="J188" s="18" t="str">
        <f t="shared" si="5"/>
        <v>2020</v>
      </c>
      <c r="K188" s="18" t="s">
        <v>1009</v>
      </c>
      <c r="L188" s="18" t="s">
        <v>37</v>
      </c>
      <c r="M188" s="18" t="s">
        <v>37</v>
      </c>
      <c r="N188" s="18"/>
      <c r="O188" s="19" t="s">
        <v>1119</v>
      </c>
      <c r="P188" s="17" t="s">
        <v>1120</v>
      </c>
      <c r="Q188" s="17" t="s">
        <v>1013</v>
      </c>
      <c r="R188" s="17" t="s">
        <v>1014</v>
      </c>
      <c r="S188" s="17" t="s">
        <v>1121</v>
      </c>
      <c r="T188" s="17" t="s">
        <v>43</v>
      </c>
      <c r="U188" s="17">
        <v>84631</v>
      </c>
      <c r="V188" s="17" t="str">
        <f t="shared" si="6"/>
        <v>01/24/2020</v>
      </c>
      <c r="W188" s="17" t="s">
        <v>44</v>
      </c>
      <c r="X188" s="17" t="s">
        <v>1122</v>
      </c>
    </row>
    <row r="189" spans="1:24" s="17" customFormat="1" x14ac:dyDescent="0.25">
      <c r="A189" t="s">
        <v>24</v>
      </c>
      <c r="B189" t="s">
        <v>862</v>
      </c>
      <c r="C189" t="s">
        <v>1123</v>
      </c>
      <c r="D189" t="s">
        <v>107</v>
      </c>
      <c r="E189" t="s">
        <v>28</v>
      </c>
      <c r="F189" t="s">
        <v>28</v>
      </c>
      <c r="G189"/>
      <c r="H189"/>
      <c r="I189" s="3" t="s">
        <v>990</v>
      </c>
      <c r="J189" s="3" t="str">
        <f t="shared" si="5"/>
        <v>2019</v>
      </c>
      <c r="K189" s="3"/>
      <c r="L189" s="3" t="s">
        <v>37</v>
      </c>
      <c r="M189" s="16" t="s">
        <v>937</v>
      </c>
      <c r="N189" s="3"/>
      <c r="O189" s="2" t="s">
        <v>1124</v>
      </c>
      <c r="P189" t="s">
        <v>1125</v>
      </c>
      <c r="Q189" t="s">
        <v>869</v>
      </c>
      <c r="R189" t="s">
        <v>870</v>
      </c>
      <c r="S189" t="s">
        <v>1126</v>
      </c>
      <c r="T189" t="s">
        <v>43</v>
      </c>
      <c r="U189">
        <v>2255514</v>
      </c>
      <c r="V189" t="str">
        <f t="shared" si="6"/>
        <v>11/05/2019</v>
      </c>
      <c r="W189" t="s">
        <v>44</v>
      </c>
      <c r="X189" t="s">
        <v>1127</v>
      </c>
    </row>
    <row r="190" spans="1:24" s="17" customFormat="1" x14ac:dyDescent="0.25">
      <c r="A190" t="s">
        <v>24</v>
      </c>
      <c r="B190" t="s">
        <v>862</v>
      </c>
      <c r="C190" t="s">
        <v>927</v>
      </c>
      <c r="D190" t="s">
        <v>107</v>
      </c>
      <c r="E190" t="s">
        <v>28</v>
      </c>
      <c r="F190" t="s">
        <v>28</v>
      </c>
      <c r="G190"/>
      <c r="H190"/>
      <c r="I190" s="3" t="s">
        <v>995</v>
      </c>
      <c r="J190" s="3" t="str">
        <f t="shared" si="5"/>
        <v>2019</v>
      </c>
      <c r="K190" s="3"/>
      <c r="L190" s="3" t="s">
        <v>37</v>
      </c>
      <c r="M190" s="16" t="s">
        <v>996</v>
      </c>
      <c r="N190" s="3"/>
      <c r="O190" s="2" t="s">
        <v>1128</v>
      </c>
      <c r="P190" t="s">
        <v>1129</v>
      </c>
      <c r="Q190" t="s">
        <v>869</v>
      </c>
      <c r="R190" t="s">
        <v>870</v>
      </c>
      <c r="S190" t="s">
        <v>1130</v>
      </c>
      <c r="T190" t="s">
        <v>43</v>
      </c>
      <c r="U190">
        <v>2255478</v>
      </c>
      <c r="V190" t="str">
        <f t="shared" si="6"/>
        <v>10/23/2019</v>
      </c>
      <c r="W190" t="s">
        <v>44</v>
      </c>
      <c r="X190"/>
    </row>
    <row r="191" spans="1:24" s="17" customFormat="1" x14ac:dyDescent="0.25">
      <c r="A191" t="s">
        <v>24</v>
      </c>
      <c r="B191" t="s">
        <v>862</v>
      </c>
      <c r="C191" t="s">
        <v>979</v>
      </c>
      <c r="D191" t="s">
        <v>107</v>
      </c>
      <c r="E191" t="s">
        <v>28</v>
      </c>
      <c r="F191" t="s">
        <v>28</v>
      </c>
      <c r="G191"/>
      <c r="H191"/>
      <c r="I191" s="3" t="s">
        <v>995</v>
      </c>
      <c r="J191" s="3" t="str">
        <f t="shared" si="5"/>
        <v>2019</v>
      </c>
      <c r="K191" s="3"/>
      <c r="L191" s="3" t="s">
        <v>37</v>
      </c>
      <c r="M191" s="16" t="s">
        <v>996</v>
      </c>
      <c r="N191" s="3"/>
      <c r="O191" s="2" t="s">
        <v>1131</v>
      </c>
      <c r="P191" t="s">
        <v>1132</v>
      </c>
      <c r="Q191" t="s">
        <v>869</v>
      </c>
      <c r="R191" t="s">
        <v>870</v>
      </c>
      <c r="S191" t="s">
        <v>1133</v>
      </c>
      <c r="T191" t="s">
        <v>43</v>
      </c>
      <c r="U191">
        <v>2255487</v>
      </c>
      <c r="V191" t="str">
        <f t="shared" si="6"/>
        <v>10/23/2019</v>
      </c>
      <c r="W191" t="s">
        <v>44</v>
      </c>
      <c r="X191"/>
    </row>
    <row r="192" spans="1:24" s="17" customFormat="1" x14ac:dyDescent="0.25">
      <c r="A192" t="s">
        <v>24</v>
      </c>
      <c r="B192" t="s">
        <v>1134</v>
      </c>
      <c r="C192" t="s">
        <v>1135</v>
      </c>
      <c r="D192" t="s">
        <v>107</v>
      </c>
      <c r="E192" t="s">
        <v>28</v>
      </c>
      <c r="F192" t="s">
        <v>28</v>
      </c>
      <c r="G192"/>
      <c r="H192"/>
      <c r="I192" s="3" t="s">
        <v>1136</v>
      </c>
      <c r="J192" s="3" t="str">
        <f t="shared" si="5"/>
        <v>2020</v>
      </c>
      <c r="K192" s="3"/>
      <c r="L192" s="3" t="s">
        <v>37</v>
      </c>
      <c r="M192" s="16" t="s">
        <v>1137</v>
      </c>
      <c r="N192" s="3"/>
      <c r="O192" s="2" t="s">
        <v>1138</v>
      </c>
      <c r="P192" t="s">
        <v>1139</v>
      </c>
      <c r="Q192" t="s">
        <v>1140</v>
      </c>
      <c r="R192" t="s">
        <v>1141</v>
      </c>
      <c r="S192" t="s">
        <v>1142</v>
      </c>
      <c r="T192" t="s">
        <v>43</v>
      </c>
      <c r="U192">
        <v>435667</v>
      </c>
      <c r="V192" t="str">
        <f t="shared" si="6"/>
        <v>03/12/2020</v>
      </c>
      <c r="W192" t="s">
        <v>44</v>
      </c>
      <c r="X192"/>
    </row>
    <row r="193" spans="1:24" hidden="1" x14ac:dyDescent="0.25">
      <c r="A193" t="s">
        <v>24</v>
      </c>
      <c r="B193" t="s">
        <v>1007</v>
      </c>
      <c r="C193" t="s">
        <v>1143</v>
      </c>
      <c r="D193" t="s">
        <v>35</v>
      </c>
      <c r="E193" t="s">
        <v>26</v>
      </c>
      <c r="F193" t="s">
        <v>26</v>
      </c>
      <c r="G193" t="s">
        <v>37</v>
      </c>
      <c r="H193" t="s">
        <v>28</v>
      </c>
      <c r="I193" s="3" t="s">
        <v>36</v>
      </c>
      <c r="J193" s="3" t="str">
        <f t="shared" si="5"/>
        <v>2019</v>
      </c>
      <c r="K193" s="18" t="s">
        <v>1009</v>
      </c>
      <c r="L193" s="3"/>
      <c r="M193" s="3"/>
      <c r="N193" s="3"/>
      <c r="O193" s="2" t="s">
        <v>1144</v>
      </c>
      <c r="P193" t="s">
        <v>1145</v>
      </c>
      <c r="Q193" t="s">
        <v>1013</v>
      </c>
      <c r="R193" t="s">
        <v>1014</v>
      </c>
      <c r="S193" t="s">
        <v>1146</v>
      </c>
      <c r="T193" t="s">
        <v>43</v>
      </c>
      <c r="U193">
        <v>84518</v>
      </c>
      <c r="V193" t="str">
        <f t="shared" si="6"/>
        <v>09/26/2019</v>
      </c>
      <c r="W193" t="s">
        <v>44</v>
      </c>
      <c r="X193" t="s">
        <v>1147</v>
      </c>
    </row>
    <row r="194" spans="1:24" hidden="1" x14ac:dyDescent="0.25">
      <c r="A194" t="s">
        <v>24</v>
      </c>
      <c r="B194" t="s">
        <v>1007</v>
      </c>
      <c r="C194" t="s">
        <v>1148</v>
      </c>
      <c r="D194" t="s">
        <v>35</v>
      </c>
      <c r="E194" t="s">
        <v>26</v>
      </c>
      <c r="F194" t="s">
        <v>26</v>
      </c>
      <c r="G194" t="s">
        <v>37</v>
      </c>
      <c r="H194" t="s">
        <v>28</v>
      </c>
      <c r="I194" s="3" t="s">
        <v>36</v>
      </c>
      <c r="J194" s="3" t="str">
        <f t="shared" ref="J194" si="7">RIGHT(I194,4)</f>
        <v>2019</v>
      </c>
      <c r="K194" s="18" t="s">
        <v>1009</v>
      </c>
      <c r="L194" s="3"/>
      <c r="M194" s="3"/>
      <c r="N194" s="3"/>
      <c r="O194" s="2" t="s">
        <v>1149</v>
      </c>
      <c r="P194" t="s">
        <v>1150</v>
      </c>
      <c r="Q194" t="s">
        <v>1013</v>
      </c>
      <c r="R194" t="s">
        <v>1014</v>
      </c>
      <c r="S194" t="s">
        <v>1151</v>
      </c>
      <c r="T194" t="s">
        <v>43</v>
      </c>
      <c r="U194">
        <v>84519</v>
      </c>
      <c r="V194" t="str">
        <f t="shared" si="6"/>
        <v>09/26/2019</v>
      </c>
      <c r="W194" t="s">
        <v>44</v>
      </c>
      <c r="X194" t="s">
        <v>1152</v>
      </c>
    </row>
    <row r="195" spans="1:24" s="17" customFormat="1" x14ac:dyDescent="0.25">
      <c r="A195" t="s">
        <v>24</v>
      </c>
      <c r="B195" t="s">
        <v>1134</v>
      </c>
      <c r="C195" t="s">
        <v>127</v>
      </c>
      <c r="D195" t="s">
        <v>35</v>
      </c>
      <c r="E195" t="s">
        <v>28</v>
      </c>
      <c r="F195" t="s">
        <v>28</v>
      </c>
      <c r="G195"/>
      <c r="H195"/>
      <c r="I195" s="3" t="s">
        <v>52</v>
      </c>
      <c r="J195" s="3" t="s">
        <v>1153</v>
      </c>
      <c r="K195" s="3"/>
      <c r="L195" s="16" t="s">
        <v>1154</v>
      </c>
      <c r="M195" s="16" t="s">
        <v>1155</v>
      </c>
      <c r="N195" s="3"/>
      <c r="O195" s="2" t="s">
        <v>1156</v>
      </c>
      <c r="P195" t="s">
        <v>1157</v>
      </c>
      <c r="Q195" t="s">
        <v>1140</v>
      </c>
      <c r="R195" t="s">
        <v>1141</v>
      </c>
      <c r="S195" t="s">
        <v>1158</v>
      </c>
      <c r="T195" t="s">
        <v>43</v>
      </c>
      <c r="U195">
        <v>435633</v>
      </c>
      <c r="V195" t="str">
        <f t="shared" si="6"/>
        <v>10/25/2019</v>
      </c>
      <c r="W195" t="s">
        <v>44</v>
      </c>
      <c r="X195"/>
    </row>
    <row r="196" spans="1:24" hidden="1" x14ac:dyDescent="0.25">
      <c r="A196" t="s">
        <v>24</v>
      </c>
      <c r="B196" t="s">
        <v>1007</v>
      </c>
      <c r="C196" t="s">
        <v>1159</v>
      </c>
      <c r="D196" t="s">
        <v>35</v>
      </c>
      <c r="E196" t="s">
        <v>26</v>
      </c>
      <c r="F196" t="s">
        <v>26</v>
      </c>
      <c r="G196" t="s">
        <v>37</v>
      </c>
      <c r="H196" t="s">
        <v>28</v>
      </c>
      <c r="I196" s="3" t="s">
        <v>36</v>
      </c>
      <c r="J196" s="3" t="str">
        <f t="shared" ref="J196:J259" si="8">RIGHT(I196,4)</f>
        <v>2019</v>
      </c>
      <c r="K196" s="18" t="s">
        <v>1009</v>
      </c>
      <c r="L196" s="3"/>
      <c r="M196" s="3"/>
      <c r="N196" s="3"/>
      <c r="O196" s="2" t="s">
        <v>1160</v>
      </c>
      <c r="P196" t="s">
        <v>1161</v>
      </c>
      <c r="Q196" t="s">
        <v>1013</v>
      </c>
      <c r="R196" t="s">
        <v>1014</v>
      </c>
      <c r="S196" t="s">
        <v>1162</v>
      </c>
      <c r="T196" t="s">
        <v>43</v>
      </c>
      <c r="U196">
        <v>84521</v>
      </c>
      <c r="V196" t="str">
        <f t="shared" si="6"/>
        <v>09/26/2019</v>
      </c>
      <c r="W196" t="s">
        <v>44</v>
      </c>
      <c r="X196" t="s">
        <v>1163</v>
      </c>
    </row>
    <row r="197" spans="1:24" s="17" customFormat="1" x14ac:dyDescent="0.25">
      <c r="A197" t="s">
        <v>24</v>
      </c>
      <c r="B197" t="s">
        <v>1134</v>
      </c>
      <c r="C197" t="s">
        <v>235</v>
      </c>
      <c r="D197" t="s">
        <v>35</v>
      </c>
      <c r="E197" t="s">
        <v>28</v>
      </c>
      <c r="F197" t="s">
        <v>28</v>
      </c>
      <c r="G197"/>
      <c r="H197"/>
      <c r="I197" s="3" t="s">
        <v>52</v>
      </c>
      <c r="J197" s="3" t="str">
        <f t="shared" si="8"/>
        <v>2019</v>
      </c>
      <c r="K197" s="3"/>
      <c r="L197" s="15" t="s">
        <v>1164</v>
      </c>
      <c r="M197" s="15" t="s">
        <v>1165</v>
      </c>
      <c r="N197" s="3"/>
      <c r="O197" s="2" t="s">
        <v>1166</v>
      </c>
      <c r="P197" t="s">
        <v>1167</v>
      </c>
      <c r="Q197" t="s">
        <v>1140</v>
      </c>
      <c r="R197" t="s">
        <v>1141</v>
      </c>
      <c r="S197" t="s">
        <v>1168</v>
      </c>
      <c r="T197" t="s">
        <v>43</v>
      </c>
      <c r="U197">
        <v>435637</v>
      </c>
      <c r="V197" t="str">
        <f t="shared" si="6"/>
        <v>10/25/2019</v>
      </c>
      <c r="W197" t="s">
        <v>44</v>
      </c>
      <c r="X197"/>
    </row>
    <row r="198" spans="1:24" s="17" customFormat="1" x14ac:dyDescent="0.25">
      <c r="A198" t="s">
        <v>24</v>
      </c>
      <c r="B198" s="17" t="s">
        <v>1007</v>
      </c>
      <c r="C198" s="17" t="s">
        <v>1169</v>
      </c>
      <c r="D198" s="17" t="s">
        <v>35</v>
      </c>
      <c r="E198" s="17" t="s">
        <v>26</v>
      </c>
      <c r="F198" s="17" t="s">
        <v>28</v>
      </c>
      <c r="G198" s="17" t="s">
        <v>1009</v>
      </c>
      <c r="H198" s="17" t="s">
        <v>280</v>
      </c>
      <c r="I198" s="18" t="s">
        <v>36</v>
      </c>
      <c r="J198" s="18" t="str">
        <f t="shared" si="8"/>
        <v>2019</v>
      </c>
      <c r="K198" s="18" t="s">
        <v>1009</v>
      </c>
      <c r="L198" s="18" t="s">
        <v>37</v>
      </c>
      <c r="M198" s="18" t="s">
        <v>37</v>
      </c>
      <c r="N198" s="18"/>
      <c r="O198" s="19" t="s">
        <v>1170</v>
      </c>
      <c r="P198" s="17" t="s">
        <v>1171</v>
      </c>
      <c r="Q198" s="17" t="s">
        <v>1013</v>
      </c>
      <c r="R198" s="17" t="s">
        <v>1014</v>
      </c>
      <c r="S198" s="17" t="s">
        <v>1172</v>
      </c>
      <c r="T198" s="17" t="s">
        <v>43</v>
      </c>
      <c r="U198" s="17">
        <v>84523</v>
      </c>
      <c r="V198" s="17" t="str">
        <f t="shared" si="6"/>
        <v>09/26/2019</v>
      </c>
      <c r="W198" s="17" t="s">
        <v>44</v>
      </c>
      <c r="X198" s="17" t="s">
        <v>1173</v>
      </c>
    </row>
    <row r="199" spans="1:24" hidden="1" x14ac:dyDescent="0.25">
      <c r="A199" t="s">
        <v>24</v>
      </c>
      <c r="B199" t="s">
        <v>1007</v>
      </c>
      <c r="C199" t="s">
        <v>1174</v>
      </c>
      <c r="D199" t="s">
        <v>35</v>
      </c>
      <c r="E199" t="s">
        <v>26</v>
      </c>
      <c r="F199" t="s">
        <v>26</v>
      </c>
      <c r="G199" t="s">
        <v>37</v>
      </c>
      <c r="H199" t="s">
        <v>28</v>
      </c>
      <c r="I199" s="3" t="s">
        <v>36</v>
      </c>
      <c r="J199" s="3" t="str">
        <f t="shared" si="8"/>
        <v>2019</v>
      </c>
      <c r="K199" s="18" t="s">
        <v>1009</v>
      </c>
      <c r="L199" s="3"/>
      <c r="M199" s="3"/>
      <c r="N199" s="3"/>
      <c r="O199" s="2" t="s">
        <v>1175</v>
      </c>
      <c r="P199" t="s">
        <v>1176</v>
      </c>
      <c r="Q199" t="s">
        <v>1013</v>
      </c>
      <c r="R199" t="s">
        <v>1014</v>
      </c>
      <c r="S199" t="s">
        <v>1177</v>
      </c>
      <c r="T199" t="s">
        <v>43</v>
      </c>
      <c r="U199">
        <v>84524</v>
      </c>
      <c r="V199" t="str">
        <f t="shared" ref="V199:V262" si="9">TEXT(DATEVALUE(LEFT(O199,10)), "mm/dd/yyyy")</f>
        <v>09/26/2019</v>
      </c>
      <c r="W199" t="s">
        <v>44</v>
      </c>
      <c r="X199" t="s">
        <v>1178</v>
      </c>
    </row>
    <row r="200" spans="1:24" s="17" customFormat="1" x14ac:dyDescent="0.25">
      <c r="A200" t="s">
        <v>24</v>
      </c>
      <c r="B200" s="17" t="s">
        <v>1007</v>
      </c>
      <c r="C200" s="17" t="s">
        <v>1179</v>
      </c>
      <c r="D200" s="17" t="s">
        <v>35</v>
      </c>
      <c r="E200" s="17" t="s">
        <v>26</v>
      </c>
      <c r="F200" s="17" t="s">
        <v>28</v>
      </c>
      <c r="G200" s="17" t="s">
        <v>1009</v>
      </c>
      <c r="H200" s="17" t="s">
        <v>280</v>
      </c>
      <c r="I200" s="18" t="s">
        <v>36</v>
      </c>
      <c r="J200" s="18" t="str">
        <f t="shared" si="8"/>
        <v>2019</v>
      </c>
      <c r="K200" s="18" t="s">
        <v>1009</v>
      </c>
      <c r="L200" s="18" t="s">
        <v>37</v>
      </c>
      <c r="M200" s="18" t="s">
        <v>37</v>
      </c>
      <c r="N200" s="18"/>
      <c r="O200" s="19" t="s">
        <v>1180</v>
      </c>
      <c r="P200" s="17" t="s">
        <v>1181</v>
      </c>
      <c r="Q200" s="17" t="s">
        <v>1013</v>
      </c>
      <c r="R200" s="17" t="s">
        <v>1014</v>
      </c>
      <c r="S200" s="17" t="s">
        <v>1182</v>
      </c>
      <c r="T200" s="17" t="s">
        <v>43</v>
      </c>
      <c r="U200" s="17">
        <v>84525</v>
      </c>
      <c r="V200" s="17" t="str">
        <f t="shared" si="9"/>
        <v>09/26/2019</v>
      </c>
      <c r="W200" s="17" t="s">
        <v>44</v>
      </c>
    </row>
    <row r="201" spans="1:24" hidden="1" x14ac:dyDescent="0.25">
      <c r="A201" t="s">
        <v>24</v>
      </c>
      <c r="B201" t="s">
        <v>1007</v>
      </c>
      <c r="C201" t="s">
        <v>1183</v>
      </c>
      <c r="D201" t="s">
        <v>35</v>
      </c>
      <c r="E201" t="s">
        <v>26</v>
      </c>
      <c r="F201" t="s">
        <v>26</v>
      </c>
      <c r="G201" t="s">
        <v>37</v>
      </c>
      <c r="H201" t="s">
        <v>28</v>
      </c>
      <c r="I201" s="3" t="s">
        <v>36</v>
      </c>
      <c r="J201" s="3" t="str">
        <f t="shared" si="8"/>
        <v>2019</v>
      </c>
      <c r="K201" s="18" t="s">
        <v>1009</v>
      </c>
      <c r="L201" s="3"/>
      <c r="M201" s="3"/>
      <c r="N201" s="3"/>
      <c r="O201" s="2" t="s">
        <v>1184</v>
      </c>
      <c r="P201" t="s">
        <v>1185</v>
      </c>
      <c r="Q201" t="s">
        <v>1013</v>
      </c>
      <c r="R201" t="s">
        <v>1014</v>
      </c>
      <c r="S201" t="s">
        <v>1186</v>
      </c>
      <c r="T201" t="s">
        <v>43</v>
      </c>
      <c r="U201">
        <v>84526</v>
      </c>
      <c r="V201" t="str">
        <f t="shared" si="9"/>
        <v>09/26/2019</v>
      </c>
      <c r="W201" t="s">
        <v>44</v>
      </c>
    </row>
    <row r="202" spans="1:24" hidden="1" x14ac:dyDescent="0.25">
      <c r="A202" t="s">
        <v>24</v>
      </c>
      <c r="B202" t="s">
        <v>1007</v>
      </c>
      <c r="C202" t="s">
        <v>1187</v>
      </c>
      <c r="D202" t="s">
        <v>35</v>
      </c>
      <c r="E202" t="s">
        <v>26</v>
      </c>
      <c r="F202" t="s">
        <v>26</v>
      </c>
      <c r="G202" t="s">
        <v>37</v>
      </c>
      <c r="H202" t="s">
        <v>28</v>
      </c>
      <c r="I202" s="3" t="s">
        <v>36</v>
      </c>
      <c r="J202" s="3" t="str">
        <f t="shared" si="8"/>
        <v>2019</v>
      </c>
      <c r="K202" s="18" t="s">
        <v>1009</v>
      </c>
      <c r="L202" s="3"/>
      <c r="M202" s="3"/>
      <c r="N202" s="3"/>
      <c r="O202" s="2" t="s">
        <v>1188</v>
      </c>
      <c r="P202" t="s">
        <v>1189</v>
      </c>
      <c r="Q202" t="s">
        <v>1013</v>
      </c>
      <c r="R202" t="s">
        <v>1014</v>
      </c>
      <c r="S202" t="s">
        <v>1190</v>
      </c>
      <c r="T202" t="s">
        <v>43</v>
      </c>
      <c r="U202">
        <v>84527</v>
      </c>
      <c r="V202" t="str">
        <f t="shared" si="9"/>
        <v>09/26/2019</v>
      </c>
      <c r="W202" t="s">
        <v>44</v>
      </c>
      <c r="X202" t="s">
        <v>1191</v>
      </c>
    </row>
    <row r="203" spans="1:24" s="17" customFormat="1" x14ac:dyDescent="0.25">
      <c r="A203" t="s">
        <v>24</v>
      </c>
      <c r="B203" s="17" t="s">
        <v>1007</v>
      </c>
      <c r="C203" s="17" t="s">
        <v>1192</v>
      </c>
      <c r="D203" s="17" t="s">
        <v>35</v>
      </c>
      <c r="E203" s="17" t="s">
        <v>26</v>
      </c>
      <c r="F203" s="17" t="s">
        <v>28</v>
      </c>
      <c r="G203" s="17" t="s">
        <v>1009</v>
      </c>
      <c r="H203" s="17" t="s">
        <v>280</v>
      </c>
      <c r="I203" s="18" t="s">
        <v>36</v>
      </c>
      <c r="J203" s="18" t="str">
        <f t="shared" si="8"/>
        <v>2019</v>
      </c>
      <c r="K203" s="18" t="s">
        <v>1009</v>
      </c>
      <c r="L203" s="18" t="s">
        <v>37</v>
      </c>
      <c r="M203" s="18" t="s">
        <v>37</v>
      </c>
      <c r="N203" s="18"/>
      <c r="O203" s="19" t="s">
        <v>1193</v>
      </c>
      <c r="P203" s="17" t="s">
        <v>1194</v>
      </c>
      <c r="Q203" s="17" t="s">
        <v>1013</v>
      </c>
      <c r="R203" s="17" t="s">
        <v>1014</v>
      </c>
      <c r="S203" s="17" t="s">
        <v>1195</v>
      </c>
      <c r="T203" s="17" t="s">
        <v>43</v>
      </c>
      <c r="U203" s="17">
        <v>84528</v>
      </c>
      <c r="V203" s="17" t="str">
        <f t="shared" si="9"/>
        <v>09/26/2019</v>
      </c>
      <c r="W203" s="17" t="s">
        <v>44</v>
      </c>
    </row>
    <row r="204" spans="1:24" hidden="1" x14ac:dyDescent="0.25">
      <c r="A204" t="s">
        <v>24</v>
      </c>
      <c r="B204" t="s">
        <v>1007</v>
      </c>
      <c r="C204" t="s">
        <v>1196</v>
      </c>
      <c r="D204" t="s">
        <v>35</v>
      </c>
      <c r="E204" t="s">
        <v>26</v>
      </c>
      <c r="F204" t="s">
        <v>26</v>
      </c>
      <c r="G204" t="s">
        <v>37</v>
      </c>
      <c r="H204" t="s">
        <v>28</v>
      </c>
      <c r="I204" s="3" t="s">
        <v>36</v>
      </c>
      <c r="J204" s="3" t="str">
        <f t="shared" si="8"/>
        <v>2019</v>
      </c>
      <c r="K204" s="18" t="s">
        <v>1009</v>
      </c>
      <c r="L204" s="3"/>
      <c r="M204" s="3"/>
      <c r="N204" s="3"/>
      <c r="O204" s="2" t="s">
        <v>1197</v>
      </c>
      <c r="P204" t="s">
        <v>1198</v>
      </c>
      <c r="Q204" t="s">
        <v>1013</v>
      </c>
      <c r="R204" t="s">
        <v>1014</v>
      </c>
      <c r="S204" t="s">
        <v>1199</v>
      </c>
      <c r="T204" t="s">
        <v>43</v>
      </c>
      <c r="U204">
        <v>84529</v>
      </c>
      <c r="V204" t="str">
        <f t="shared" si="9"/>
        <v>09/26/2019</v>
      </c>
      <c r="W204" t="s">
        <v>44</v>
      </c>
      <c r="X204" t="s">
        <v>1200</v>
      </c>
    </row>
    <row r="205" spans="1:24" hidden="1" x14ac:dyDescent="0.25">
      <c r="A205" t="s">
        <v>24</v>
      </c>
      <c r="B205" t="s">
        <v>1007</v>
      </c>
      <c r="C205" t="s">
        <v>1201</v>
      </c>
      <c r="D205" t="s">
        <v>107</v>
      </c>
      <c r="E205" t="s">
        <v>26</v>
      </c>
      <c r="F205" t="s">
        <v>26</v>
      </c>
      <c r="G205" t="s">
        <v>37</v>
      </c>
      <c r="H205" t="s">
        <v>28</v>
      </c>
      <c r="I205" s="3" t="s">
        <v>1202</v>
      </c>
      <c r="J205" s="3" t="str">
        <f t="shared" si="8"/>
        <v>2019</v>
      </c>
      <c r="K205" s="18" t="s">
        <v>1009</v>
      </c>
      <c r="L205" s="3"/>
      <c r="M205" s="3"/>
      <c r="N205" s="3"/>
      <c r="O205" s="2" t="s">
        <v>1203</v>
      </c>
      <c r="P205" t="s">
        <v>1204</v>
      </c>
      <c r="Q205" t="s">
        <v>1013</v>
      </c>
      <c r="R205" t="s">
        <v>1014</v>
      </c>
      <c r="S205" t="s">
        <v>1205</v>
      </c>
      <c r="T205" t="s">
        <v>43</v>
      </c>
      <c r="U205">
        <v>84576</v>
      </c>
      <c r="V205" t="str">
        <f t="shared" si="9"/>
        <v>10/15/2019</v>
      </c>
      <c r="W205" t="s">
        <v>44</v>
      </c>
    </row>
    <row r="206" spans="1:24" s="17" customFormat="1" x14ac:dyDescent="0.25">
      <c r="A206" t="s">
        <v>24</v>
      </c>
      <c r="B206" s="17" t="s">
        <v>1007</v>
      </c>
      <c r="C206" s="17" t="s">
        <v>1206</v>
      </c>
      <c r="D206" s="17" t="s">
        <v>35</v>
      </c>
      <c r="E206" s="17" t="s">
        <v>26</v>
      </c>
      <c r="F206" s="17" t="s">
        <v>28</v>
      </c>
      <c r="G206" s="17" t="s">
        <v>1009</v>
      </c>
      <c r="H206" s="17" t="s">
        <v>280</v>
      </c>
      <c r="I206" s="18" t="s">
        <v>1207</v>
      </c>
      <c r="J206" s="18" t="str">
        <f t="shared" si="8"/>
        <v>2019</v>
      </c>
      <c r="K206" s="18" t="s">
        <v>1009</v>
      </c>
      <c r="L206" s="18" t="s">
        <v>37</v>
      </c>
      <c r="M206" s="18" t="s">
        <v>37</v>
      </c>
      <c r="N206" s="18"/>
      <c r="O206" s="19" t="s">
        <v>1208</v>
      </c>
      <c r="P206" s="17" t="s">
        <v>1209</v>
      </c>
      <c r="Q206" s="17" t="s">
        <v>1013</v>
      </c>
      <c r="R206" s="17" t="s">
        <v>1014</v>
      </c>
      <c r="S206" s="17" t="s">
        <v>1210</v>
      </c>
      <c r="T206" s="17" t="s">
        <v>43</v>
      </c>
      <c r="U206" s="17">
        <v>84550</v>
      </c>
      <c r="V206" s="17" t="str">
        <f t="shared" si="9"/>
        <v>10/04/2019</v>
      </c>
      <c r="W206" s="17" t="s">
        <v>44</v>
      </c>
      <c r="X206" s="17" t="s">
        <v>1211</v>
      </c>
    </row>
    <row r="207" spans="1:24" s="17" customFormat="1" x14ac:dyDescent="0.25">
      <c r="A207" t="s">
        <v>24</v>
      </c>
      <c r="B207" s="17" t="s">
        <v>1007</v>
      </c>
      <c r="C207" s="17" t="s">
        <v>1212</v>
      </c>
      <c r="D207" s="17" t="s">
        <v>35</v>
      </c>
      <c r="E207" s="17" t="s">
        <v>26</v>
      </c>
      <c r="F207" s="17" t="s">
        <v>28</v>
      </c>
      <c r="G207" s="17" t="s">
        <v>1009</v>
      </c>
      <c r="H207" s="17" t="s">
        <v>280</v>
      </c>
      <c r="I207" s="18" t="s">
        <v>36</v>
      </c>
      <c r="J207" s="18" t="str">
        <f t="shared" si="8"/>
        <v>2019</v>
      </c>
      <c r="K207" s="18" t="s">
        <v>1009</v>
      </c>
      <c r="L207" s="18" t="s">
        <v>37</v>
      </c>
      <c r="M207" s="18" t="s">
        <v>37</v>
      </c>
      <c r="N207" s="18"/>
      <c r="O207" s="19" t="s">
        <v>1213</v>
      </c>
      <c r="P207" s="17" t="s">
        <v>1214</v>
      </c>
      <c r="Q207" s="17" t="s">
        <v>1013</v>
      </c>
      <c r="R207" s="17" t="s">
        <v>1014</v>
      </c>
      <c r="S207" s="17" t="s">
        <v>1215</v>
      </c>
      <c r="T207" s="17" t="s">
        <v>43</v>
      </c>
      <c r="U207" s="17">
        <v>84532</v>
      </c>
      <c r="V207" s="17" t="str">
        <f t="shared" si="9"/>
        <v>09/26/2019</v>
      </c>
      <c r="W207" s="17" t="s">
        <v>44</v>
      </c>
    </row>
    <row r="208" spans="1:24" s="17" customFormat="1" x14ac:dyDescent="0.25">
      <c r="A208" t="s">
        <v>24</v>
      </c>
      <c r="B208" s="17" t="s">
        <v>1007</v>
      </c>
      <c r="C208" s="17" t="s">
        <v>1216</v>
      </c>
      <c r="D208" s="17" t="s">
        <v>35</v>
      </c>
      <c r="E208" s="17" t="s">
        <v>26</v>
      </c>
      <c r="F208" s="17" t="s">
        <v>28</v>
      </c>
      <c r="G208" s="17" t="s">
        <v>1009</v>
      </c>
      <c r="H208" s="17" t="s">
        <v>280</v>
      </c>
      <c r="I208" s="18" t="s">
        <v>36</v>
      </c>
      <c r="J208" s="18" t="str">
        <f t="shared" si="8"/>
        <v>2019</v>
      </c>
      <c r="K208" s="18" t="s">
        <v>1009</v>
      </c>
      <c r="L208" s="18" t="s">
        <v>37</v>
      </c>
      <c r="M208" s="18" t="s">
        <v>37</v>
      </c>
      <c r="N208" s="18"/>
      <c r="O208" s="19" t="s">
        <v>1217</v>
      </c>
      <c r="P208" s="17" t="s">
        <v>1218</v>
      </c>
      <c r="Q208" s="17" t="s">
        <v>1013</v>
      </c>
      <c r="R208" s="17" t="s">
        <v>1014</v>
      </c>
      <c r="S208" s="17" t="s">
        <v>1219</v>
      </c>
      <c r="T208" s="17" t="s">
        <v>43</v>
      </c>
      <c r="U208" s="17">
        <v>84533</v>
      </c>
      <c r="V208" s="17" t="str">
        <f t="shared" si="9"/>
        <v>09/26/2019</v>
      </c>
      <c r="W208" s="17" t="s">
        <v>44</v>
      </c>
      <c r="X208" s="17" t="s">
        <v>1220</v>
      </c>
    </row>
    <row r="209" spans="1:24" hidden="1" x14ac:dyDescent="0.25">
      <c r="A209" t="s">
        <v>24</v>
      </c>
      <c r="B209" t="s">
        <v>1007</v>
      </c>
      <c r="C209" t="s">
        <v>1221</v>
      </c>
      <c r="D209" t="s">
        <v>107</v>
      </c>
      <c r="E209" t="s">
        <v>26</v>
      </c>
      <c r="F209" t="s">
        <v>26</v>
      </c>
      <c r="G209" t="s">
        <v>37</v>
      </c>
      <c r="H209" t="s">
        <v>28</v>
      </c>
      <c r="I209" s="3" t="s">
        <v>1222</v>
      </c>
      <c r="J209" s="3" t="str">
        <f t="shared" si="8"/>
        <v>2019</v>
      </c>
      <c r="K209" s="18" t="s">
        <v>1009</v>
      </c>
      <c r="L209" s="3"/>
      <c r="M209" s="3"/>
      <c r="N209" s="3"/>
      <c r="O209" s="2" t="s">
        <v>1223</v>
      </c>
      <c r="P209" t="s">
        <v>1224</v>
      </c>
      <c r="Q209" t="s">
        <v>1013</v>
      </c>
      <c r="R209" t="s">
        <v>1014</v>
      </c>
      <c r="S209" t="s">
        <v>1225</v>
      </c>
      <c r="T209" t="s">
        <v>43</v>
      </c>
      <c r="U209">
        <v>84608</v>
      </c>
      <c r="V209" t="str">
        <f t="shared" si="9"/>
        <v>11/04/2019</v>
      </c>
      <c r="W209" t="s">
        <v>44</v>
      </c>
      <c r="X209" t="s">
        <v>1226</v>
      </c>
    </row>
    <row r="210" spans="1:24" s="17" customFormat="1" x14ac:dyDescent="0.25">
      <c r="A210" t="s">
        <v>24</v>
      </c>
      <c r="B210" t="s">
        <v>1134</v>
      </c>
      <c r="C210" t="s">
        <v>69</v>
      </c>
      <c r="D210" t="s">
        <v>35</v>
      </c>
      <c r="E210" t="s">
        <v>28</v>
      </c>
      <c r="F210" t="s">
        <v>28</v>
      </c>
      <c r="G210"/>
      <c r="H210"/>
      <c r="I210" s="3" t="s">
        <v>52</v>
      </c>
      <c r="J210" s="3" t="str">
        <f t="shared" si="8"/>
        <v>2019</v>
      </c>
      <c r="K210" s="3"/>
      <c r="L210" s="15" t="s">
        <v>1227</v>
      </c>
      <c r="M210" s="15" t="s">
        <v>1228</v>
      </c>
      <c r="N210" s="3"/>
      <c r="O210" s="2" t="s">
        <v>1229</v>
      </c>
      <c r="P210" t="s">
        <v>1230</v>
      </c>
      <c r="Q210" t="s">
        <v>1140</v>
      </c>
      <c r="R210" t="s">
        <v>1141</v>
      </c>
      <c r="S210" t="s">
        <v>1231</v>
      </c>
      <c r="T210" t="s">
        <v>43</v>
      </c>
      <c r="U210">
        <v>435641</v>
      </c>
      <c r="V210" t="str">
        <f t="shared" si="9"/>
        <v>10/25/2019</v>
      </c>
      <c r="W210" t="s">
        <v>44</v>
      </c>
      <c r="X210"/>
    </row>
    <row r="211" spans="1:24" hidden="1" x14ac:dyDescent="0.25">
      <c r="A211" t="s">
        <v>24</v>
      </c>
      <c r="B211" t="s">
        <v>1007</v>
      </c>
      <c r="C211" t="s">
        <v>1232</v>
      </c>
      <c r="D211" t="s">
        <v>35</v>
      </c>
      <c r="E211" t="s">
        <v>26</v>
      </c>
      <c r="F211" t="s">
        <v>26</v>
      </c>
      <c r="G211" t="s">
        <v>37</v>
      </c>
      <c r="H211" t="s">
        <v>28</v>
      </c>
      <c r="I211" s="3" t="s">
        <v>36</v>
      </c>
      <c r="J211" s="3" t="str">
        <f t="shared" si="8"/>
        <v>2019</v>
      </c>
      <c r="K211" s="18" t="s">
        <v>1009</v>
      </c>
      <c r="L211" s="3"/>
      <c r="M211" s="3"/>
      <c r="N211" s="3"/>
      <c r="O211" s="2" t="s">
        <v>1233</v>
      </c>
      <c r="P211" t="s">
        <v>1234</v>
      </c>
      <c r="Q211" t="s">
        <v>1013</v>
      </c>
      <c r="R211" t="s">
        <v>1014</v>
      </c>
      <c r="S211" t="s">
        <v>1235</v>
      </c>
      <c r="T211" t="s">
        <v>43</v>
      </c>
      <c r="U211">
        <v>84537</v>
      </c>
      <c r="V211" t="str">
        <f t="shared" si="9"/>
        <v>09/26/2019</v>
      </c>
      <c r="W211" t="s">
        <v>44</v>
      </c>
    </row>
    <row r="212" spans="1:24" hidden="1" x14ac:dyDescent="0.25">
      <c r="A212" t="s">
        <v>24</v>
      </c>
      <c r="B212" t="s">
        <v>1007</v>
      </c>
      <c r="C212" t="s">
        <v>1236</v>
      </c>
      <c r="D212" t="s">
        <v>107</v>
      </c>
      <c r="E212" t="s">
        <v>26</v>
      </c>
      <c r="F212" t="s">
        <v>26</v>
      </c>
      <c r="G212" t="s">
        <v>37</v>
      </c>
      <c r="H212" t="s">
        <v>28</v>
      </c>
      <c r="I212" s="3" t="s">
        <v>36</v>
      </c>
      <c r="J212" s="3" t="str">
        <f t="shared" si="8"/>
        <v>2019</v>
      </c>
      <c r="K212" s="18" t="s">
        <v>1009</v>
      </c>
      <c r="L212" s="3"/>
      <c r="M212" s="3"/>
      <c r="N212" s="3"/>
      <c r="O212" s="2" t="s">
        <v>1237</v>
      </c>
      <c r="P212" t="s">
        <v>1238</v>
      </c>
      <c r="Q212" t="s">
        <v>1013</v>
      </c>
      <c r="R212" t="s">
        <v>1014</v>
      </c>
      <c r="S212" t="s">
        <v>1239</v>
      </c>
      <c r="T212" t="s">
        <v>43</v>
      </c>
      <c r="U212">
        <v>84538</v>
      </c>
      <c r="V212" t="str">
        <f t="shared" si="9"/>
        <v>09/26/2019</v>
      </c>
      <c r="W212" t="s">
        <v>44</v>
      </c>
    </row>
    <row r="213" spans="1:24" s="17" customFormat="1" x14ac:dyDescent="0.25">
      <c r="A213" t="s">
        <v>24</v>
      </c>
      <c r="B213" s="17" t="s">
        <v>1007</v>
      </c>
      <c r="C213" s="17" t="s">
        <v>1240</v>
      </c>
      <c r="D213" s="17" t="s">
        <v>35</v>
      </c>
      <c r="E213" s="17" t="s">
        <v>26</v>
      </c>
      <c r="F213" s="17" t="s">
        <v>28</v>
      </c>
      <c r="G213" s="17" t="s">
        <v>1009</v>
      </c>
      <c r="H213" s="17" t="s">
        <v>280</v>
      </c>
      <c r="I213" s="18" t="s">
        <v>36</v>
      </c>
      <c r="J213" s="18" t="str">
        <f t="shared" si="8"/>
        <v>2019</v>
      </c>
      <c r="K213" s="18" t="s">
        <v>1009</v>
      </c>
      <c r="L213" s="18" t="s">
        <v>37</v>
      </c>
      <c r="M213" s="18" t="s">
        <v>37</v>
      </c>
      <c r="N213" s="18"/>
      <c r="O213" s="19" t="s">
        <v>1241</v>
      </c>
      <c r="P213" s="17" t="s">
        <v>1242</v>
      </c>
      <c r="Q213" s="17" t="s">
        <v>1013</v>
      </c>
      <c r="R213" s="17" t="s">
        <v>1014</v>
      </c>
      <c r="S213" s="17" t="s">
        <v>1243</v>
      </c>
      <c r="T213" s="17" t="s">
        <v>43</v>
      </c>
      <c r="U213" s="17">
        <v>84539</v>
      </c>
      <c r="V213" s="17" t="str">
        <f t="shared" si="9"/>
        <v>09/26/2019</v>
      </c>
      <c r="W213" s="17" t="s">
        <v>44</v>
      </c>
      <c r="X213" s="17" t="s">
        <v>1244</v>
      </c>
    </row>
    <row r="214" spans="1:24" s="17" customFormat="1" x14ac:dyDescent="0.25">
      <c r="A214" t="s">
        <v>24</v>
      </c>
      <c r="B214" s="17" t="s">
        <v>1007</v>
      </c>
      <c r="C214" s="17" t="s">
        <v>1245</v>
      </c>
      <c r="D214" s="17" t="s">
        <v>35</v>
      </c>
      <c r="E214" s="17" t="s">
        <v>26</v>
      </c>
      <c r="F214" s="17" t="s">
        <v>28</v>
      </c>
      <c r="G214" s="17" t="s">
        <v>1009</v>
      </c>
      <c r="H214" s="17" t="s">
        <v>280</v>
      </c>
      <c r="I214" s="18" t="s">
        <v>36</v>
      </c>
      <c r="J214" s="18" t="str">
        <f t="shared" si="8"/>
        <v>2019</v>
      </c>
      <c r="K214" s="18" t="s">
        <v>1009</v>
      </c>
      <c r="L214" s="18" t="s">
        <v>37</v>
      </c>
      <c r="M214" s="18" t="s">
        <v>37</v>
      </c>
      <c r="N214" s="18"/>
      <c r="O214" s="19" t="s">
        <v>1246</v>
      </c>
      <c r="P214" s="17" t="s">
        <v>1247</v>
      </c>
      <c r="Q214" s="17" t="s">
        <v>1013</v>
      </c>
      <c r="R214" s="17" t="s">
        <v>1014</v>
      </c>
      <c r="S214" s="17" t="s">
        <v>1248</v>
      </c>
      <c r="T214" s="17" t="s">
        <v>43</v>
      </c>
      <c r="U214" s="17">
        <v>84540</v>
      </c>
      <c r="V214" s="17" t="str">
        <f t="shared" si="9"/>
        <v>09/26/2019</v>
      </c>
      <c r="W214" s="17" t="s">
        <v>44</v>
      </c>
      <c r="X214" s="17" t="s">
        <v>1249</v>
      </c>
    </row>
    <row r="215" spans="1:24" hidden="1" x14ac:dyDescent="0.25">
      <c r="A215" t="s">
        <v>24</v>
      </c>
      <c r="B215" t="s">
        <v>1007</v>
      </c>
      <c r="C215" t="s">
        <v>1250</v>
      </c>
      <c r="D215" t="s">
        <v>35</v>
      </c>
      <c r="E215" t="s">
        <v>28</v>
      </c>
      <c r="F215" t="s">
        <v>26</v>
      </c>
      <c r="G215" t="s">
        <v>37</v>
      </c>
      <c r="H215" t="s">
        <v>28</v>
      </c>
      <c r="I215" s="3" t="s">
        <v>36</v>
      </c>
      <c r="J215" s="3" t="str">
        <f t="shared" si="8"/>
        <v>2019</v>
      </c>
      <c r="K215" s="18" t="s">
        <v>1009</v>
      </c>
      <c r="L215" s="3"/>
      <c r="M215" s="3"/>
      <c r="N215" s="3"/>
      <c r="O215" s="2" t="s">
        <v>1251</v>
      </c>
      <c r="P215" t="s">
        <v>1252</v>
      </c>
      <c r="Q215" t="s">
        <v>1013</v>
      </c>
      <c r="R215" t="s">
        <v>1014</v>
      </c>
      <c r="S215" t="s">
        <v>1253</v>
      </c>
      <c r="T215" t="s">
        <v>43</v>
      </c>
      <c r="U215">
        <v>84541</v>
      </c>
      <c r="V215" t="str">
        <f t="shared" si="9"/>
        <v>09/26/2019</v>
      </c>
      <c r="W215" t="s">
        <v>44</v>
      </c>
      <c r="X215" t="s">
        <v>1254</v>
      </c>
    </row>
    <row r="216" spans="1:24" s="17" customFormat="1" ht="108" customHeight="1" x14ac:dyDescent="0.25">
      <c r="A216" t="s">
        <v>24</v>
      </c>
      <c r="B216" t="s">
        <v>1134</v>
      </c>
      <c r="C216" t="s">
        <v>175</v>
      </c>
      <c r="D216" t="s">
        <v>35</v>
      </c>
      <c r="E216" t="s">
        <v>28</v>
      </c>
      <c r="F216" t="s">
        <v>28</v>
      </c>
      <c r="G216"/>
      <c r="H216"/>
      <c r="I216" s="3" t="s">
        <v>52</v>
      </c>
      <c r="J216" s="3" t="str">
        <f t="shared" si="8"/>
        <v>2019</v>
      </c>
      <c r="K216" s="3" t="s">
        <v>87</v>
      </c>
      <c r="L216" s="15" t="s">
        <v>1255</v>
      </c>
      <c r="M216" s="15" t="s">
        <v>1256</v>
      </c>
      <c r="N216" s="3" t="s">
        <v>1257</v>
      </c>
      <c r="O216" s="2" t="s">
        <v>1258</v>
      </c>
      <c r="P216" t="s">
        <v>1259</v>
      </c>
      <c r="Q216" t="s">
        <v>1140</v>
      </c>
      <c r="R216" t="s">
        <v>1141</v>
      </c>
      <c r="S216" t="s">
        <v>1260</v>
      </c>
      <c r="T216" t="s">
        <v>43</v>
      </c>
      <c r="U216">
        <v>435648</v>
      </c>
      <c r="V216" t="str">
        <f t="shared" si="9"/>
        <v>10/25/2019</v>
      </c>
      <c r="W216" t="s">
        <v>44</v>
      </c>
      <c r="X216"/>
    </row>
    <row r="217" spans="1:24" s="17" customFormat="1" x14ac:dyDescent="0.25">
      <c r="A217" t="s">
        <v>24</v>
      </c>
      <c r="B217" s="17" t="s">
        <v>1007</v>
      </c>
      <c r="C217" s="17" t="s">
        <v>1261</v>
      </c>
      <c r="D217" s="17" t="s">
        <v>35</v>
      </c>
      <c r="E217" s="17" t="s">
        <v>26</v>
      </c>
      <c r="F217" s="17" t="s">
        <v>28</v>
      </c>
      <c r="G217" s="17" t="s">
        <v>1009</v>
      </c>
      <c r="H217" s="17" t="s">
        <v>280</v>
      </c>
      <c r="I217" s="18" t="s">
        <v>36</v>
      </c>
      <c r="J217" s="18" t="str">
        <f t="shared" si="8"/>
        <v>2019</v>
      </c>
      <c r="K217" s="18" t="s">
        <v>1009</v>
      </c>
      <c r="L217" s="18" t="s">
        <v>37</v>
      </c>
      <c r="M217" s="18" t="s">
        <v>37</v>
      </c>
      <c r="N217" s="18"/>
      <c r="O217" s="19" t="s">
        <v>1262</v>
      </c>
      <c r="P217" s="17" t="s">
        <v>1263</v>
      </c>
      <c r="Q217" s="17" t="s">
        <v>1013</v>
      </c>
      <c r="R217" s="17" t="s">
        <v>1014</v>
      </c>
      <c r="S217" s="17" t="s">
        <v>1264</v>
      </c>
      <c r="T217" s="17" t="s">
        <v>43</v>
      </c>
      <c r="U217" s="17">
        <v>84542</v>
      </c>
      <c r="V217" s="17" t="str">
        <f t="shared" si="9"/>
        <v>09/26/2019</v>
      </c>
      <c r="W217" s="17" t="s">
        <v>44</v>
      </c>
      <c r="X217" s="17" t="s">
        <v>1265</v>
      </c>
    </row>
    <row r="218" spans="1:24" s="17" customFormat="1" x14ac:dyDescent="0.25">
      <c r="A218" t="s">
        <v>24</v>
      </c>
      <c r="B218" s="17" t="s">
        <v>1007</v>
      </c>
      <c r="C218" s="17" t="s">
        <v>1266</v>
      </c>
      <c r="D218" s="17" t="s">
        <v>35</v>
      </c>
      <c r="E218" s="17" t="s">
        <v>26</v>
      </c>
      <c r="F218" s="17" t="s">
        <v>28</v>
      </c>
      <c r="G218" s="17" t="s">
        <v>1009</v>
      </c>
      <c r="H218" s="17" t="s">
        <v>280</v>
      </c>
      <c r="I218" s="18" t="s">
        <v>1267</v>
      </c>
      <c r="J218" s="18" t="str">
        <f t="shared" si="8"/>
        <v>2019</v>
      </c>
      <c r="K218" s="18" t="s">
        <v>1009</v>
      </c>
      <c r="L218" s="18" t="s">
        <v>37</v>
      </c>
      <c r="M218" s="18" t="s">
        <v>37</v>
      </c>
      <c r="N218" s="18"/>
      <c r="O218" s="19" t="s">
        <v>1268</v>
      </c>
      <c r="P218" s="17" t="s">
        <v>1269</v>
      </c>
      <c r="Q218" s="17" t="s">
        <v>1013</v>
      </c>
      <c r="R218" s="17" t="s">
        <v>1014</v>
      </c>
      <c r="S218" s="17" t="s">
        <v>1270</v>
      </c>
      <c r="T218" s="17" t="s">
        <v>43</v>
      </c>
      <c r="U218" s="17">
        <v>84558</v>
      </c>
      <c r="V218" s="17" t="str">
        <f t="shared" si="9"/>
        <v>10/10/2019</v>
      </c>
      <c r="W218" s="17" t="s">
        <v>44</v>
      </c>
    </row>
    <row r="219" spans="1:24" hidden="1" x14ac:dyDescent="0.25">
      <c r="A219" t="s">
        <v>24</v>
      </c>
      <c r="B219" s="7" t="s">
        <v>1134</v>
      </c>
      <c r="C219" s="7" t="s">
        <v>113</v>
      </c>
      <c r="D219" t="s">
        <v>107</v>
      </c>
      <c r="E219" t="s">
        <v>26</v>
      </c>
      <c r="F219" t="s">
        <v>26</v>
      </c>
      <c r="G219" t="s">
        <v>27</v>
      </c>
      <c r="H219" t="s">
        <v>28</v>
      </c>
      <c r="I219" s="3" t="s">
        <v>1271</v>
      </c>
      <c r="J219" s="3" t="str">
        <f t="shared" si="8"/>
        <v>2025</v>
      </c>
      <c r="K219" s="3"/>
      <c r="L219" s="3"/>
      <c r="M219" s="3"/>
      <c r="N219" s="3"/>
      <c r="O219" s="2" t="s">
        <v>1272</v>
      </c>
      <c r="P219" t="s">
        <v>1273</v>
      </c>
      <c r="Q219" t="s">
        <v>1140</v>
      </c>
      <c r="R219" t="s">
        <v>1141</v>
      </c>
      <c r="S219" t="s">
        <v>1274</v>
      </c>
      <c r="T219" t="s">
        <v>43</v>
      </c>
      <c r="U219">
        <v>435705</v>
      </c>
      <c r="V219" t="str">
        <f t="shared" si="9"/>
        <v>02/17/2025</v>
      </c>
      <c r="W219" t="s">
        <v>44</v>
      </c>
    </row>
    <row r="220" spans="1:24" ht="117.75" customHeight="1" x14ac:dyDescent="0.25">
      <c r="A220" t="s">
        <v>24</v>
      </c>
      <c r="B220" t="s">
        <v>1134</v>
      </c>
      <c r="C220" t="s">
        <v>226</v>
      </c>
      <c r="D220" t="s">
        <v>35</v>
      </c>
      <c r="E220" t="s">
        <v>28</v>
      </c>
      <c r="F220" t="s">
        <v>28</v>
      </c>
      <c r="G220" t="s">
        <v>27</v>
      </c>
      <c r="I220" s="3" t="s">
        <v>52</v>
      </c>
      <c r="J220" s="3" t="str">
        <f t="shared" si="8"/>
        <v>2019</v>
      </c>
      <c r="K220" s="3" t="s">
        <v>1275</v>
      </c>
      <c r="L220" s="15" t="s">
        <v>1276</v>
      </c>
      <c r="M220" s="15" t="s">
        <v>1277</v>
      </c>
      <c r="N220" s="3" t="s">
        <v>1278</v>
      </c>
      <c r="O220" s="2" t="s">
        <v>1279</v>
      </c>
      <c r="P220" t="s">
        <v>1280</v>
      </c>
      <c r="Q220" t="s">
        <v>1140</v>
      </c>
      <c r="R220" t="s">
        <v>1141</v>
      </c>
      <c r="S220" t="s">
        <v>1281</v>
      </c>
      <c r="T220" t="s">
        <v>43</v>
      </c>
      <c r="U220">
        <v>435653</v>
      </c>
      <c r="V220" t="str">
        <f t="shared" si="9"/>
        <v>10/25/2019</v>
      </c>
      <c r="W220" t="s">
        <v>44</v>
      </c>
    </row>
    <row r="221" spans="1:24" x14ac:dyDescent="0.25">
      <c r="A221" t="s">
        <v>24</v>
      </c>
      <c r="B221" t="s">
        <v>1134</v>
      </c>
      <c r="C221" t="s">
        <v>162</v>
      </c>
      <c r="D221" t="s">
        <v>35</v>
      </c>
      <c r="E221" t="s">
        <v>28</v>
      </c>
      <c r="F221" t="s">
        <v>28</v>
      </c>
      <c r="I221" s="3" t="s">
        <v>1282</v>
      </c>
      <c r="J221" s="3" t="str">
        <f t="shared" si="8"/>
        <v>2020</v>
      </c>
      <c r="K221" s="3" t="s">
        <v>1283</v>
      </c>
      <c r="L221" s="15" t="s">
        <v>1284</v>
      </c>
      <c r="M221" s="15" t="s">
        <v>1285</v>
      </c>
      <c r="N221" s="3" t="s">
        <v>1286</v>
      </c>
      <c r="O221" s="2" t="s">
        <v>1287</v>
      </c>
      <c r="P221" t="s">
        <v>1288</v>
      </c>
      <c r="Q221" t="s">
        <v>1140</v>
      </c>
      <c r="R221" t="s">
        <v>1141</v>
      </c>
      <c r="S221" t="s">
        <v>1289</v>
      </c>
      <c r="T221" t="s">
        <v>43</v>
      </c>
      <c r="U221">
        <v>435658</v>
      </c>
      <c r="V221" t="str">
        <f t="shared" si="9"/>
        <v>03/11/2020</v>
      </c>
      <c r="W221" t="s">
        <v>44</v>
      </c>
    </row>
    <row r="222" spans="1:24" x14ac:dyDescent="0.25">
      <c r="A222" t="s">
        <v>24</v>
      </c>
      <c r="B222" t="s">
        <v>1134</v>
      </c>
      <c r="C222" t="s">
        <v>77</v>
      </c>
      <c r="D222" t="s">
        <v>35</v>
      </c>
      <c r="E222" t="s">
        <v>28</v>
      </c>
      <c r="F222" t="s">
        <v>28</v>
      </c>
      <c r="I222" s="3" t="s">
        <v>1290</v>
      </c>
      <c r="J222" s="3" t="str">
        <f t="shared" si="8"/>
        <v>2022</v>
      </c>
      <c r="K222" s="3"/>
      <c r="L222" s="15" t="s">
        <v>1291</v>
      </c>
      <c r="M222" s="16" t="s">
        <v>1292</v>
      </c>
      <c r="N222" s="3"/>
      <c r="O222" s="2" t="s">
        <v>1293</v>
      </c>
      <c r="P222" t="s">
        <v>1294</v>
      </c>
      <c r="Q222" t="s">
        <v>1140</v>
      </c>
      <c r="R222" t="s">
        <v>1141</v>
      </c>
      <c r="S222" t="s">
        <v>1295</v>
      </c>
      <c r="T222" t="s">
        <v>43</v>
      </c>
      <c r="U222">
        <v>435669</v>
      </c>
      <c r="V222" t="str">
        <f t="shared" si="9"/>
        <v>07/15/2022</v>
      </c>
      <c r="W222" t="s">
        <v>44</v>
      </c>
    </row>
    <row r="223" spans="1:24" x14ac:dyDescent="0.25">
      <c r="A223" t="s">
        <v>24</v>
      </c>
      <c r="B223" s="7" t="s">
        <v>1134</v>
      </c>
      <c r="C223" s="7" t="s">
        <v>273</v>
      </c>
      <c r="D223" s="7" t="s">
        <v>35</v>
      </c>
      <c r="E223" s="7" t="s">
        <v>28</v>
      </c>
      <c r="F223" s="7" t="s">
        <v>28</v>
      </c>
      <c r="G223" s="7"/>
      <c r="H223" s="7"/>
      <c r="I223" s="13" t="s">
        <v>52</v>
      </c>
      <c r="J223" s="13" t="str">
        <f t="shared" si="8"/>
        <v>2019</v>
      </c>
      <c r="K223" s="13"/>
      <c r="L223" s="13"/>
      <c r="M223" s="13" t="s">
        <v>37</v>
      </c>
      <c r="N223" s="13"/>
      <c r="O223" s="14" t="s">
        <v>1296</v>
      </c>
      <c r="P223" s="7" t="s">
        <v>1297</v>
      </c>
      <c r="Q223" s="7" t="s">
        <v>1140</v>
      </c>
      <c r="R223" s="7" t="s">
        <v>1141</v>
      </c>
      <c r="S223" s="7" t="s">
        <v>1298</v>
      </c>
      <c r="T223" s="7" t="s">
        <v>43</v>
      </c>
      <c r="U223" s="7">
        <v>435646</v>
      </c>
      <c r="V223" s="7" t="str">
        <f t="shared" si="9"/>
        <v>10/25/2019</v>
      </c>
      <c r="W223" s="7" t="s">
        <v>44</v>
      </c>
      <c r="X223" s="7"/>
    </row>
    <row r="224" spans="1:24" x14ac:dyDescent="0.25">
      <c r="A224" t="s">
        <v>24</v>
      </c>
      <c r="B224" s="17" t="s">
        <v>1299</v>
      </c>
      <c r="C224" s="17" t="s">
        <v>1300</v>
      </c>
      <c r="D224" s="17" t="s">
        <v>35</v>
      </c>
      <c r="E224" s="17" t="s">
        <v>26</v>
      </c>
      <c r="F224" s="17" t="s">
        <v>28</v>
      </c>
      <c r="G224" s="17" t="s">
        <v>1301</v>
      </c>
      <c r="H224" s="18" t="s">
        <v>280</v>
      </c>
      <c r="I224" s="18" t="s">
        <v>36</v>
      </c>
      <c r="J224" s="18" t="str">
        <f t="shared" si="8"/>
        <v>2019</v>
      </c>
      <c r="K224" s="18"/>
      <c r="L224" s="18" t="s">
        <v>37</v>
      </c>
      <c r="M224" s="18" t="s">
        <v>1302</v>
      </c>
      <c r="N224" s="19"/>
      <c r="O224" s="17" t="s">
        <v>1303</v>
      </c>
      <c r="P224" s="17" t="s">
        <v>1304</v>
      </c>
      <c r="Q224" s="17" t="s">
        <v>1305</v>
      </c>
      <c r="R224" s="17" t="s">
        <v>1306</v>
      </c>
      <c r="S224" s="17" t="s">
        <v>1307</v>
      </c>
      <c r="T224" s="17" t="s">
        <v>43</v>
      </c>
      <c r="U224" s="17">
        <v>3399648</v>
      </c>
      <c r="V224" s="17" t="str">
        <f t="shared" si="9"/>
        <v>09/26/2019</v>
      </c>
      <c r="W224" s="17" t="s">
        <v>44</v>
      </c>
      <c r="X224" s="17" t="s">
        <v>1308</v>
      </c>
    </row>
    <row r="225" spans="1:24" x14ac:dyDescent="0.25">
      <c r="A225" t="s">
        <v>24</v>
      </c>
      <c r="B225" s="7" t="s">
        <v>1134</v>
      </c>
      <c r="C225" s="7" t="s">
        <v>157</v>
      </c>
      <c r="D225" s="7" t="s">
        <v>35</v>
      </c>
      <c r="E225" s="7" t="s">
        <v>28</v>
      </c>
      <c r="F225" s="7" t="s">
        <v>28</v>
      </c>
      <c r="G225" s="7" t="s">
        <v>27</v>
      </c>
      <c r="H225" s="7"/>
      <c r="I225" s="13" t="s">
        <v>52</v>
      </c>
      <c r="J225" s="13" t="str">
        <f t="shared" si="8"/>
        <v>2019</v>
      </c>
      <c r="K225" s="13"/>
      <c r="L225" s="13"/>
      <c r="M225" s="13" t="s">
        <v>37</v>
      </c>
      <c r="N225" s="13"/>
      <c r="O225" s="14" t="s">
        <v>1309</v>
      </c>
      <c r="P225" s="7" t="s">
        <v>1310</v>
      </c>
      <c r="Q225" s="7" t="s">
        <v>1140</v>
      </c>
      <c r="R225" s="7" t="s">
        <v>1141</v>
      </c>
      <c r="S225" s="7" t="s">
        <v>1311</v>
      </c>
      <c r="T225" s="7" t="s">
        <v>43</v>
      </c>
      <c r="U225" s="7">
        <v>435651</v>
      </c>
      <c r="V225" s="7" t="str">
        <f t="shared" si="9"/>
        <v>10/25/2019</v>
      </c>
      <c r="W225" s="7" t="s">
        <v>44</v>
      </c>
      <c r="X225" s="7"/>
    </row>
    <row r="226" spans="1:24" x14ac:dyDescent="0.25">
      <c r="A226" t="s">
        <v>24</v>
      </c>
      <c r="B226" s="17" t="s">
        <v>1299</v>
      </c>
      <c r="C226" s="17" t="s">
        <v>1312</v>
      </c>
      <c r="D226" s="17" t="s">
        <v>35</v>
      </c>
      <c r="E226" s="17" t="s">
        <v>26</v>
      </c>
      <c r="F226" s="17" t="s">
        <v>28</v>
      </c>
      <c r="G226" s="17" t="s">
        <v>1301</v>
      </c>
      <c r="H226" s="18" t="s">
        <v>280</v>
      </c>
      <c r="I226" s="18" t="s">
        <v>36</v>
      </c>
      <c r="J226" s="18" t="str">
        <f t="shared" si="8"/>
        <v>2019</v>
      </c>
      <c r="K226" s="18"/>
      <c r="L226" s="18" t="s">
        <v>37</v>
      </c>
      <c r="M226" s="18" t="s">
        <v>1313</v>
      </c>
      <c r="N226" s="19"/>
      <c r="O226" s="17" t="s">
        <v>1314</v>
      </c>
      <c r="P226" s="17" t="s">
        <v>1315</v>
      </c>
      <c r="Q226" s="17" t="s">
        <v>1305</v>
      </c>
      <c r="R226" s="17" t="s">
        <v>1306</v>
      </c>
      <c r="S226" s="17" t="s">
        <v>1316</v>
      </c>
      <c r="T226" s="17" t="s">
        <v>43</v>
      </c>
      <c r="U226" s="17">
        <v>3399656</v>
      </c>
      <c r="V226" s="17" t="str">
        <f t="shared" si="9"/>
        <v>09/26/2019</v>
      </c>
      <c r="W226" s="17" t="s">
        <v>44</v>
      </c>
      <c r="X226" s="17"/>
    </row>
    <row r="227" spans="1:24" hidden="1" x14ac:dyDescent="0.25">
      <c r="A227" t="s">
        <v>24</v>
      </c>
      <c r="B227" t="s">
        <v>1134</v>
      </c>
      <c r="C227" t="s">
        <v>62</v>
      </c>
      <c r="D227" t="s">
        <v>35</v>
      </c>
      <c r="E227" t="s">
        <v>26</v>
      </c>
      <c r="F227" t="s">
        <v>26</v>
      </c>
      <c r="G227" t="s">
        <v>27</v>
      </c>
      <c r="H227" t="s">
        <v>28</v>
      </c>
      <c r="I227" s="3" t="s">
        <v>1317</v>
      </c>
      <c r="J227" s="3" t="str">
        <f t="shared" si="8"/>
        <v>2020</v>
      </c>
      <c r="K227" s="3"/>
      <c r="L227" s="3"/>
      <c r="M227" s="3"/>
      <c r="N227" s="3"/>
      <c r="O227" s="2" t="s">
        <v>1318</v>
      </c>
      <c r="P227" t="s">
        <v>1319</v>
      </c>
      <c r="Q227" t="s">
        <v>1140</v>
      </c>
      <c r="R227" t="s">
        <v>1141</v>
      </c>
      <c r="S227" t="s">
        <v>1320</v>
      </c>
      <c r="T227" t="s">
        <v>43</v>
      </c>
      <c r="U227">
        <v>435668</v>
      </c>
      <c r="V227" t="str">
        <f t="shared" si="9"/>
        <v>08/19/2020</v>
      </c>
      <c r="W227" t="s">
        <v>44</v>
      </c>
    </row>
    <row r="228" spans="1:24" hidden="1" x14ac:dyDescent="0.25">
      <c r="A228" t="s">
        <v>24</v>
      </c>
      <c r="B228" t="s">
        <v>1134</v>
      </c>
      <c r="C228" t="s">
        <v>253</v>
      </c>
      <c r="D228" t="s">
        <v>35</v>
      </c>
      <c r="E228" t="s">
        <v>26</v>
      </c>
      <c r="F228" t="s">
        <v>26</v>
      </c>
      <c r="G228" t="s">
        <v>27</v>
      </c>
      <c r="H228" t="s">
        <v>28</v>
      </c>
      <c r="I228" s="3" t="s">
        <v>52</v>
      </c>
      <c r="J228" s="3" t="str">
        <f t="shared" si="8"/>
        <v>2019</v>
      </c>
      <c r="K228" s="3"/>
      <c r="L228" s="3"/>
      <c r="M228" s="3"/>
      <c r="N228" s="3"/>
      <c r="O228" s="2" t="s">
        <v>1321</v>
      </c>
      <c r="P228" t="s">
        <v>1322</v>
      </c>
      <c r="Q228" t="s">
        <v>1140</v>
      </c>
      <c r="R228" t="s">
        <v>1141</v>
      </c>
      <c r="S228" t="s">
        <v>1323</v>
      </c>
      <c r="T228" t="s">
        <v>43</v>
      </c>
      <c r="U228">
        <v>435635</v>
      </c>
      <c r="V228" t="str">
        <f t="shared" si="9"/>
        <v>10/25/2019</v>
      </c>
      <c r="W228" t="s">
        <v>44</v>
      </c>
    </row>
    <row r="229" spans="1:24" hidden="1" x14ac:dyDescent="0.25">
      <c r="A229" t="s">
        <v>24</v>
      </c>
      <c r="B229" t="s">
        <v>1134</v>
      </c>
      <c r="C229" t="s">
        <v>268</v>
      </c>
      <c r="D229" t="s">
        <v>35</v>
      </c>
      <c r="E229" t="s">
        <v>26</v>
      </c>
      <c r="F229" t="s">
        <v>26</v>
      </c>
      <c r="G229" t="s">
        <v>27</v>
      </c>
      <c r="H229" t="s">
        <v>28</v>
      </c>
      <c r="I229" s="3" t="s">
        <v>52</v>
      </c>
      <c r="J229" s="3" t="str">
        <f t="shared" si="8"/>
        <v>2019</v>
      </c>
      <c r="K229" s="3"/>
      <c r="L229" s="3"/>
      <c r="M229" s="3"/>
      <c r="N229" s="3"/>
      <c r="O229" s="2" t="s">
        <v>1324</v>
      </c>
      <c r="P229" t="s">
        <v>1325</v>
      </c>
      <c r="Q229" t="s">
        <v>1140</v>
      </c>
      <c r="R229" t="s">
        <v>1141</v>
      </c>
      <c r="S229" t="s">
        <v>1326</v>
      </c>
      <c r="T229" t="s">
        <v>43</v>
      </c>
      <c r="U229">
        <v>435636</v>
      </c>
      <c r="V229" t="str">
        <f t="shared" si="9"/>
        <v>10/25/2019</v>
      </c>
      <c r="W229" t="s">
        <v>44</v>
      </c>
    </row>
    <row r="230" spans="1:24" hidden="1" x14ac:dyDescent="0.25">
      <c r="A230" t="s">
        <v>24</v>
      </c>
      <c r="B230" t="s">
        <v>1134</v>
      </c>
      <c r="C230" t="s">
        <v>181</v>
      </c>
      <c r="D230" t="s">
        <v>35</v>
      </c>
      <c r="E230" t="s">
        <v>26</v>
      </c>
      <c r="F230" t="s">
        <v>26</v>
      </c>
      <c r="G230" t="s">
        <v>27</v>
      </c>
      <c r="H230" t="s">
        <v>28</v>
      </c>
      <c r="I230" s="3" t="s">
        <v>52</v>
      </c>
      <c r="J230" s="3" t="str">
        <f t="shared" si="8"/>
        <v>2019</v>
      </c>
      <c r="K230" s="3"/>
      <c r="L230" s="3"/>
      <c r="M230" s="3"/>
      <c r="N230" s="3"/>
      <c r="O230" s="2" t="s">
        <v>1327</v>
      </c>
      <c r="P230" t="s">
        <v>1328</v>
      </c>
      <c r="Q230" t="s">
        <v>1140</v>
      </c>
      <c r="R230" t="s">
        <v>1141</v>
      </c>
      <c r="S230" t="s">
        <v>1329</v>
      </c>
      <c r="T230" t="s">
        <v>43</v>
      </c>
      <c r="U230">
        <v>435638</v>
      </c>
      <c r="V230" t="str">
        <f t="shared" si="9"/>
        <v>10/25/2019</v>
      </c>
      <c r="W230" t="s">
        <v>44</v>
      </c>
    </row>
    <row r="231" spans="1:24" hidden="1" x14ac:dyDescent="0.25">
      <c r="A231" t="s">
        <v>24</v>
      </c>
      <c r="B231" t="s">
        <v>1134</v>
      </c>
      <c r="C231" t="s">
        <v>186</v>
      </c>
      <c r="D231" t="s">
        <v>35</v>
      </c>
      <c r="E231" t="s">
        <v>26</v>
      </c>
      <c r="F231" t="s">
        <v>26</v>
      </c>
      <c r="G231" t="s">
        <v>27</v>
      </c>
      <c r="H231" t="s">
        <v>28</v>
      </c>
      <c r="I231" s="3" t="s">
        <v>52</v>
      </c>
      <c r="J231" s="3" t="str">
        <f t="shared" si="8"/>
        <v>2019</v>
      </c>
      <c r="K231" s="3"/>
      <c r="L231" s="3"/>
      <c r="M231" s="3"/>
      <c r="N231" s="3"/>
      <c r="O231" s="2" t="s">
        <v>1330</v>
      </c>
      <c r="P231" t="s">
        <v>1331</v>
      </c>
      <c r="Q231" t="s">
        <v>1140</v>
      </c>
      <c r="R231" t="s">
        <v>1141</v>
      </c>
      <c r="S231" t="s">
        <v>1332</v>
      </c>
      <c r="T231" t="s">
        <v>43</v>
      </c>
      <c r="U231">
        <v>435639</v>
      </c>
      <c r="V231" t="str">
        <f t="shared" si="9"/>
        <v>10/25/2019</v>
      </c>
      <c r="W231" t="s">
        <v>44</v>
      </c>
    </row>
    <row r="232" spans="1:24" hidden="1" x14ac:dyDescent="0.25">
      <c r="A232" t="s">
        <v>24</v>
      </c>
      <c r="B232" t="s">
        <v>1134</v>
      </c>
      <c r="C232" t="s">
        <v>139</v>
      </c>
      <c r="D232" t="s">
        <v>35</v>
      </c>
      <c r="E232" t="s">
        <v>26</v>
      </c>
      <c r="F232" t="s">
        <v>26</v>
      </c>
      <c r="G232" t="s">
        <v>27</v>
      </c>
      <c r="H232" t="s">
        <v>28</v>
      </c>
      <c r="I232" s="3" t="s">
        <v>52</v>
      </c>
      <c r="J232" s="3" t="str">
        <f t="shared" si="8"/>
        <v>2019</v>
      </c>
      <c r="K232" s="3"/>
      <c r="L232" s="3"/>
      <c r="M232" s="3"/>
      <c r="N232" s="3"/>
      <c r="O232" s="2" t="s">
        <v>1333</v>
      </c>
      <c r="P232" t="s">
        <v>1334</v>
      </c>
      <c r="Q232" t="s">
        <v>1140</v>
      </c>
      <c r="R232" t="s">
        <v>1141</v>
      </c>
      <c r="S232" t="s">
        <v>1335</v>
      </c>
      <c r="T232" t="s">
        <v>43</v>
      </c>
      <c r="U232">
        <v>435640</v>
      </c>
      <c r="V232" t="str">
        <f t="shared" si="9"/>
        <v>10/25/2019</v>
      </c>
      <c r="W232" t="s">
        <v>44</v>
      </c>
    </row>
    <row r="233" spans="1:24" hidden="1" x14ac:dyDescent="0.25">
      <c r="A233" t="s">
        <v>24</v>
      </c>
      <c r="B233" t="s">
        <v>1134</v>
      </c>
      <c r="C233" t="s">
        <v>93</v>
      </c>
      <c r="D233" t="s">
        <v>35</v>
      </c>
      <c r="E233" t="s">
        <v>26</v>
      </c>
      <c r="F233" t="s">
        <v>26</v>
      </c>
      <c r="G233" t="s">
        <v>27</v>
      </c>
      <c r="H233" t="s">
        <v>28</v>
      </c>
      <c r="I233" s="3" t="s">
        <v>52</v>
      </c>
      <c r="J233" s="3" t="str">
        <f t="shared" si="8"/>
        <v>2019</v>
      </c>
      <c r="K233" s="3"/>
      <c r="L233" s="3"/>
      <c r="M233" s="3"/>
      <c r="N233" s="3"/>
      <c r="O233" s="2" t="s">
        <v>1336</v>
      </c>
      <c r="P233" t="s">
        <v>1337</v>
      </c>
      <c r="Q233" t="s">
        <v>1140</v>
      </c>
      <c r="R233" t="s">
        <v>1141</v>
      </c>
      <c r="S233" t="s">
        <v>1338</v>
      </c>
      <c r="T233" t="s">
        <v>43</v>
      </c>
      <c r="U233">
        <v>435643</v>
      </c>
      <c r="V233" t="str">
        <f t="shared" si="9"/>
        <v>10/25/2019</v>
      </c>
      <c r="W233" t="s">
        <v>44</v>
      </c>
    </row>
    <row r="234" spans="1:24" hidden="1" x14ac:dyDescent="0.25">
      <c r="A234" t="s">
        <v>24</v>
      </c>
      <c r="B234" t="s">
        <v>1134</v>
      </c>
      <c r="C234" t="s">
        <v>263</v>
      </c>
      <c r="D234" t="s">
        <v>35</v>
      </c>
      <c r="E234" t="s">
        <v>26</v>
      </c>
      <c r="F234" t="s">
        <v>26</v>
      </c>
      <c r="G234" t="s">
        <v>27</v>
      </c>
      <c r="H234" t="s">
        <v>28</v>
      </c>
      <c r="I234" s="3" t="s">
        <v>52</v>
      </c>
      <c r="J234" s="3" t="str">
        <f t="shared" si="8"/>
        <v>2019</v>
      </c>
      <c r="K234" s="3"/>
      <c r="L234" s="3"/>
      <c r="M234" s="3"/>
      <c r="N234" s="3"/>
      <c r="O234" s="2" t="s">
        <v>1339</v>
      </c>
      <c r="P234" t="s">
        <v>1340</v>
      </c>
      <c r="Q234" t="s">
        <v>1140</v>
      </c>
      <c r="R234" t="s">
        <v>1141</v>
      </c>
      <c r="S234" t="s">
        <v>1341</v>
      </c>
      <c r="T234" t="s">
        <v>43</v>
      </c>
      <c r="U234">
        <v>435644</v>
      </c>
      <c r="V234" t="str">
        <f t="shared" si="9"/>
        <v>10/25/2019</v>
      </c>
      <c r="W234" t="s">
        <v>44</v>
      </c>
    </row>
    <row r="235" spans="1:24" hidden="1" x14ac:dyDescent="0.25">
      <c r="A235" t="s">
        <v>24</v>
      </c>
      <c r="B235" t="s">
        <v>1134</v>
      </c>
      <c r="C235" t="s">
        <v>85</v>
      </c>
      <c r="D235" t="s">
        <v>35</v>
      </c>
      <c r="E235" t="s">
        <v>26</v>
      </c>
      <c r="F235" t="s">
        <v>26</v>
      </c>
      <c r="G235" t="s">
        <v>27</v>
      </c>
      <c r="H235" t="s">
        <v>28</v>
      </c>
      <c r="I235" s="3" t="s">
        <v>52</v>
      </c>
      <c r="J235" s="3" t="str">
        <f t="shared" si="8"/>
        <v>2019</v>
      </c>
      <c r="K235" s="3"/>
      <c r="L235" s="3"/>
      <c r="M235" s="3"/>
      <c r="N235" s="3"/>
      <c r="O235" s="2" t="s">
        <v>1342</v>
      </c>
      <c r="P235" t="s">
        <v>1343</v>
      </c>
      <c r="Q235" t="s">
        <v>1140</v>
      </c>
      <c r="R235" t="s">
        <v>1141</v>
      </c>
      <c r="S235" t="s">
        <v>1344</v>
      </c>
      <c r="T235" t="s">
        <v>43</v>
      </c>
      <c r="U235">
        <v>435647</v>
      </c>
      <c r="V235" t="str">
        <f t="shared" si="9"/>
        <v>10/25/2019</v>
      </c>
      <c r="W235" t="s">
        <v>44</v>
      </c>
    </row>
    <row r="236" spans="1:24" hidden="1" x14ac:dyDescent="0.25">
      <c r="A236" t="s">
        <v>24</v>
      </c>
      <c r="B236" t="s">
        <v>1134</v>
      </c>
      <c r="C236" t="s">
        <v>144</v>
      </c>
      <c r="D236" t="s">
        <v>35</v>
      </c>
      <c r="E236" t="s">
        <v>26</v>
      </c>
      <c r="F236" t="s">
        <v>26</v>
      </c>
      <c r="G236" t="s">
        <v>27</v>
      </c>
      <c r="H236" t="s">
        <v>28</v>
      </c>
      <c r="I236" s="3" t="s">
        <v>52</v>
      </c>
      <c r="J236" s="3" t="str">
        <f t="shared" si="8"/>
        <v>2019</v>
      </c>
      <c r="K236" s="3"/>
      <c r="L236" s="3"/>
      <c r="M236" s="3"/>
      <c r="N236" s="3"/>
      <c r="O236" s="2" t="s">
        <v>1345</v>
      </c>
      <c r="P236" t="s">
        <v>1346</v>
      </c>
      <c r="Q236" t="s">
        <v>1140</v>
      </c>
      <c r="R236" t="s">
        <v>1141</v>
      </c>
      <c r="S236" t="s">
        <v>1347</v>
      </c>
      <c r="T236" t="s">
        <v>43</v>
      </c>
      <c r="U236">
        <v>435649</v>
      </c>
      <c r="V236" t="str">
        <f t="shared" si="9"/>
        <v>10/25/2019</v>
      </c>
      <c r="W236" t="s">
        <v>44</v>
      </c>
    </row>
    <row r="237" spans="1:24" hidden="1" x14ac:dyDescent="0.25">
      <c r="A237" t="s">
        <v>24</v>
      </c>
      <c r="B237" t="s">
        <v>1134</v>
      </c>
      <c r="C237" t="s">
        <v>258</v>
      </c>
      <c r="D237" t="s">
        <v>35</v>
      </c>
      <c r="E237" t="s">
        <v>26</v>
      </c>
      <c r="F237" t="s">
        <v>26</v>
      </c>
      <c r="G237" t="s">
        <v>27</v>
      </c>
      <c r="H237" t="s">
        <v>28</v>
      </c>
      <c r="I237" s="3" t="s">
        <v>52</v>
      </c>
      <c r="J237" s="3" t="str">
        <f t="shared" si="8"/>
        <v>2019</v>
      </c>
      <c r="K237" s="3"/>
      <c r="L237" s="3"/>
      <c r="M237" s="3"/>
      <c r="N237" s="3"/>
      <c r="O237" s="2" t="s">
        <v>1348</v>
      </c>
      <c r="P237" t="s">
        <v>1349</v>
      </c>
      <c r="Q237" t="s">
        <v>1140</v>
      </c>
      <c r="R237" t="s">
        <v>1141</v>
      </c>
      <c r="S237" t="s">
        <v>1350</v>
      </c>
      <c r="T237" t="s">
        <v>43</v>
      </c>
      <c r="U237">
        <v>435650</v>
      </c>
      <c r="V237" t="str">
        <f t="shared" si="9"/>
        <v>10/25/2019</v>
      </c>
      <c r="W237" t="s">
        <v>44</v>
      </c>
    </row>
    <row r="238" spans="1:24" x14ac:dyDescent="0.25">
      <c r="A238" t="s">
        <v>24</v>
      </c>
      <c r="B238" s="17" t="s">
        <v>1299</v>
      </c>
      <c r="C238" s="17" t="s">
        <v>1351</v>
      </c>
      <c r="D238" s="17" t="s">
        <v>35</v>
      </c>
      <c r="E238" s="17" t="s">
        <v>26</v>
      </c>
      <c r="F238" s="17" t="s">
        <v>28</v>
      </c>
      <c r="G238" s="17" t="s">
        <v>1301</v>
      </c>
      <c r="H238" s="18" t="s">
        <v>280</v>
      </c>
      <c r="I238" s="18" t="s">
        <v>36</v>
      </c>
      <c r="J238" s="18" t="str">
        <f t="shared" si="8"/>
        <v>2019</v>
      </c>
      <c r="K238" s="18"/>
      <c r="L238" s="18" t="s">
        <v>37</v>
      </c>
      <c r="M238" s="18" t="s">
        <v>1352</v>
      </c>
      <c r="N238" s="19"/>
      <c r="O238" s="17" t="s">
        <v>1353</v>
      </c>
      <c r="P238" s="17" t="s">
        <v>1354</v>
      </c>
      <c r="Q238" s="17" t="s">
        <v>1305</v>
      </c>
      <c r="R238" s="17" t="s">
        <v>1306</v>
      </c>
      <c r="S238" s="17" t="s">
        <v>1355</v>
      </c>
      <c r="T238" s="17" t="s">
        <v>43</v>
      </c>
      <c r="U238" s="17">
        <v>3399657</v>
      </c>
      <c r="V238" s="17" t="str">
        <f t="shared" si="9"/>
        <v>09/26/2019</v>
      </c>
      <c r="W238" s="17" t="s">
        <v>44</v>
      </c>
      <c r="X238" s="17"/>
    </row>
    <row r="239" spans="1:24" x14ac:dyDescent="0.25">
      <c r="A239" t="s">
        <v>24</v>
      </c>
      <c r="B239" t="s">
        <v>1356</v>
      </c>
      <c r="C239" t="s">
        <v>1357</v>
      </c>
      <c r="D239" t="s">
        <v>35</v>
      </c>
      <c r="E239" t="s">
        <v>28</v>
      </c>
      <c r="F239" t="s">
        <v>28</v>
      </c>
      <c r="G239" t="s">
        <v>1301</v>
      </c>
      <c r="H239" s="3" t="s">
        <v>26</v>
      </c>
      <c r="I239" s="3" t="s">
        <v>1202</v>
      </c>
      <c r="J239" s="3" t="str">
        <f t="shared" si="8"/>
        <v>2019</v>
      </c>
      <c r="K239" s="3" t="s">
        <v>1358</v>
      </c>
      <c r="L239" s="15" t="s">
        <v>1359</v>
      </c>
      <c r="M239" s="15" t="s">
        <v>1360</v>
      </c>
      <c r="N239" s="2"/>
      <c r="O239" t="s">
        <v>1361</v>
      </c>
      <c r="P239" t="s">
        <v>1362</v>
      </c>
      <c r="Q239" t="s">
        <v>1363</v>
      </c>
      <c r="R239" t="s">
        <v>1364</v>
      </c>
      <c r="S239" t="s">
        <v>1365</v>
      </c>
      <c r="T239" t="s">
        <v>43</v>
      </c>
      <c r="U239">
        <v>130437</v>
      </c>
      <c r="V239" t="str">
        <f t="shared" si="9"/>
        <v>10/15/2019</v>
      </c>
      <c r="W239" t="s">
        <v>44</v>
      </c>
      <c r="X239" t="s">
        <v>1366</v>
      </c>
    </row>
    <row r="240" spans="1:24" x14ac:dyDescent="0.25">
      <c r="A240" t="s">
        <v>24</v>
      </c>
      <c r="B240" t="s">
        <v>1367</v>
      </c>
      <c r="C240" t="s">
        <v>1368</v>
      </c>
      <c r="D240" t="s">
        <v>107</v>
      </c>
      <c r="E240" t="s">
        <v>28</v>
      </c>
      <c r="F240" t="s">
        <v>28</v>
      </c>
      <c r="I240" s="3" t="s">
        <v>1369</v>
      </c>
      <c r="J240" s="3" t="str">
        <f t="shared" si="8"/>
        <v>2024</v>
      </c>
      <c r="K240" s="3"/>
      <c r="L240" s="15" t="s">
        <v>1370</v>
      </c>
      <c r="M240" s="16" t="s">
        <v>1371</v>
      </c>
      <c r="N240" s="3"/>
      <c r="O240" s="2" t="s">
        <v>1372</v>
      </c>
      <c r="P240" t="s">
        <v>1373</v>
      </c>
      <c r="Q240" t="s">
        <v>1374</v>
      </c>
      <c r="R240" t="s">
        <v>1375</v>
      </c>
      <c r="S240" t="s">
        <v>1376</v>
      </c>
      <c r="T240" t="s">
        <v>43</v>
      </c>
      <c r="U240">
        <v>17231890</v>
      </c>
      <c r="V240" t="str">
        <f t="shared" si="9"/>
        <v>09/13/2024</v>
      </c>
      <c r="W240" t="s">
        <v>44</v>
      </c>
    </row>
    <row r="241" spans="1:24" x14ac:dyDescent="0.25">
      <c r="A241" t="s">
        <v>24</v>
      </c>
      <c r="B241" s="7" t="s">
        <v>1377</v>
      </c>
      <c r="C241" s="7" t="s">
        <v>1378</v>
      </c>
      <c r="D241" s="7" t="s">
        <v>35</v>
      </c>
      <c r="E241" s="7" t="s">
        <v>28</v>
      </c>
      <c r="F241" s="7" t="s">
        <v>28</v>
      </c>
      <c r="G241" s="7"/>
      <c r="H241" s="7"/>
      <c r="I241" s="13" t="s">
        <v>1379</v>
      </c>
      <c r="J241" s="13" t="str">
        <f t="shared" si="8"/>
        <v>2022</v>
      </c>
      <c r="K241" s="13"/>
      <c r="L241" s="13"/>
      <c r="M241" s="13" t="s">
        <v>37</v>
      </c>
      <c r="N241" s="13"/>
      <c r="O241" s="14" t="s">
        <v>1380</v>
      </c>
      <c r="P241" s="7" t="s">
        <v>1381</v>
      </c>
      <c r="Q241" s="7" t="s">
        <v>1382</v>
      </c>
      <c r="R241" s="7" t="s">
        <v>1383</v>
      </c>
      <c r="S241" s="7" t="s">
        <v>1384</v>
      </c>
      <c r="T241" s="7" t="s">
        <v>43</v>
      </c>
      <c r="U241" s="7">
        <v>188609</v>
      </c>
      <c r="V241" s="7" t="str">
        <f t="shared" si="9"/>
        <v>04/27/2022</v>
      </c>
      <c r="W241" s="7" t="s">
        <v>44</v>
      </c>
      <c r="X241" s="7" t="s">
        <v>1385</v>
      </c>
    </row>
    <row r="242" spans="1:24" x14ac:dyDescent="0.25">
      <c r="A242" t="s">
        <v>24</v>
      </c>
      <c r="B242" s="7" t="s">
        <v>1299</v>
      </c>
      <c r="C242" s="7" t="s">
        <v>1386</v>
      </c>
      <c r="D242" s="7" t="s">
        <v>35</v>
      </c>
      <c r="E242" s="7" t="s">
        <v>26</v>
      </c>
      <c r="F242" s="7" t="s">
        <v>28</v>
      </c>
      <c r="G242" s="7" t="s">
        <v>1301</v>
      </c>
      <c r="H242" s="7" t="s">
        <v>280</v>
      </c>
      <c r="I242" s="13" t="s">
        <v>36</v>
      </c>
      <c r="J242" s="13" t="str">
        <f t="shared" si="8"/>
        <v>2019</v>
      </c>
      <c r="K242" s="13" t="s">
        <v>1387</v>
      </c>
      <c r="L242" s="13" t="s">
        <v>37</v>
      </c>
      <c r="M242" s="13" t="s">
        <v>37</v>
      </c>
      <c r="N242" s="13" t="s">
        <v>1388</v>
      </c>
      <c r="O242" s="14" t="s">
        <v>1389</v>
      </c>
      <c r="P242" s="7" t="s">
        <v>1390</v>
      </c>
      <c r="Q242" s="7" t="s">
        <v>1305</v>
      </c>
      <c r="R242" s="7" t="s">
        <v>1306</v>
      </c>
      <c r="S242" s="7" t="s">
        <v>1391</v>
      </c>
      <c r="T242" s="7" t="s">
        <v>43</v>
      </c>
      <c r="U242" s="7">
        <v>3399619</v>
      </c>
      <c r="V242" s="7" t="str">
        <f t="shared" si="9"/>
        <v>09/26/2019</v>
      </c>
      <c r="W242" s="7" t="s">
        <v>44</v>
      </c>
      <c r="X242" s="7"/>
    </row>
    <row r="243" spans="1:24" x14ac:dyDescent="0.25">
      <c r="A243" t="s">
        <v>24</v>
      </c>
      <c r="B243" s="7" t="s">
        <v>1299</v>
      </c>
      <c r="C243" s="7" t="s">
        <v>1392</v>
      </c>
      <c r="D243" s="7" t="s">
        <v>35</v>
      </c>
      <c r="E243" s="7" t="s">
        <v>26</v>
      </c>
      <c r="F243" s="7" t="s">
        <v>28</v>
      </c>
      <c r="G243" s="7" t="s">
        <v>1301</v>
      </c>
      <c r="H243" s="7" t="s">
        <v>280</v>
      </c>
      <c r="I243" s="13" t="s">
        <v>36</v>
      </c>
      <c r="J243" s="13" t="str">
        <f t="shared" si="8"/>
        <v>2019</v>
      </c>
      <c r="K243" s="13" t="s">
        <v>1387</v>
      </c>
      <c r="L243" s="13" t="s">
        <v>37</v>
      </c>
      <c r="M243" s="13" t="s">
        <v>37</v>
      </c>
      <c r="N243" s="13" t="s">
        <v>1393</v>
      </c>
      <c r="O243" s="14" t="s">
        <v>1394</v>
      </c>
      <c r="P243" s="7" t="s">
        <v>1395</v>
      </c>
      <c r="Q243" s="7" t="s">
        <v>1305</v>
      </c>
      <c r="R243" s="7" t="s">
        <v>1306</v>
      </c>
      <c r="S243" s="7" t="s">
        <v>1396</v>
      </c>
      <c r="T243" s="7" t="s">
        <v>43</v>
      </c>
      <c r="U243" s="7">
        <v>3399620</v>
      </c>
      <c r="V243" s="7" t="str">
        <f t="shared" si="9"/>
        <v>09/26/2019</v>
      </c>
      <c r="W243" s="7" t="s">
        <v>44</v>
      </c>
      <c r="X243" s="7"/>
    </row>
    <row r="244" spans="1:24" x14ac:dyDescent="0.25">
      <c r="A244" t="s">
        <v>24</v>
      </c>
      <c r="B244" s="7" t="s">
        <v>1299</v>
      </c>
      <c r="C244" s="7" t="s">
        <v>1397</v>
      </c>
      <c r="D244" s="7" t="s">
        <v>35</v>
      </c>
      <c r="E244" s="7" t="s">
        <v>26</v>
      </c>
      <c r="F244" s="7" t="s">
        <v>28</v>
      </c>
      <c r="G244" s="7" t="s">
        <v>1301</v>
      </c>
      <c r="H244" s="7" t="s">
        <v>280</v>
      </c>
      <c r="I244" s="13" t="s">
        <v>36</v>
      </c>
      <c r="J244" s="13" t="str">
        <f t="shared" si="8"/>
        <v>2019</v>
      </c>
      <c r="K244" s="13" t="s">
        <v>1387</v>
      </c>
      <c r="L244" s="13" t="s">
        <v>37</v>
      </c>
      <c r="M244" s="13" t="s">
        <v>37</v>
      </c>
      <c r="N244" s="13" t="s">
        <v>1398</v>
      </c>
      <c r="O244" s="14" t="s">
        <v>1399</v>
      </c>
      <c r="P244" s="7" t="s">
        <v>1400</v>
      </c>
      <c r="Q244" s="7" t="s">
        <v>1305</v>
      </c>
      <c r="R244" s="7" t="s">
        <v>1306</v>
      </c>
      <c r="S244" s="7" t="s">
        <v>1401</v>
      </c>
      <c r="T244" s="7" t="s">
        <v>43</v>
      </c>
      <c r="U244" s="7">
        <v>3399621</v>
      </c>
      <c r="V244" s="7" t="str">
        <f t="shared" si="9"/>
        <v>09/26/2019</v>
      </c>
      <c r="W244" s="7" t="s">
        <v>44</v>
      </c>
      <c r="X244" s="7" t="s">
        <v>1402</v>
      </c>
    </row>
    <row r="245" spans="1:24" hidden="1" x14ac:dyDescent="0.25">
      <c r="A245" t="s">
        <v>24</v>
      </c>
      <c r="B245" t="s">
        <v>1299</v>
      </c>
      <c r="C245" t="s">
        <v>1403</v>
      </c>
      <c r="D245" t="s">
        <v>35</v>
      </c>
      <c r="E245" t="s">
        <v>26</v>
      </c>
      <c r="F245" t="s">
        <v>26</v>
      </c>
      <c r="G245" t="s">
        <v>1301</v>
      </c>
      <c r="H245" t="s">
        <v>280</v>
      </c>
      <c r="I245" s="3" t="s">
        <v>36</v>
      </c>
      <c r="J245" s="3" t="str">
        <f t="shared" si="8"/>
        <v>2019</v>
      </c>
      <c r="K245" s="3"/>
      <c r="L245" s="3"/>
      <c r="M245" s="3"/>
      <c r="N245" s="3"/>
      <c r="O245" s="2" t="s">
        <v>1404</v>
      </c>
      <c r="P245" t="s">
        <v>1405</v>
      </c>
      <c r="Q245" t="s">
        <v>1305</v>
      </c>
      <c r="R245" t="s">
        <v>1306</v>
      </c>
      <c r="S245" t="s">
        <v>1406</v>
      </c>
      <c r="T245" t="s">
        <v>43</v>
      </c>
      <c r="U245">
        <v>3399622</v>
      </c>
      <c r="V245" t="str">
        <f t="shared" si="9"/>
        <v>09/26/2019</v>
      </c>
      <c r="W245" t="s">
        <v>44</v>
      </c>
    </row>
    <row r="246" spans="1:24" x14ac:dyDescent="0.25">
      <c r="A246" t="s">
        <v>24</v>
      </c>
      <c r="B246" s="7" t="s">
        <v>1299</v>
      </c>
      <c r="C246" s="7" t="s">
        <v>854</v>
      </c>
      <c r="D246" s="7" t="s">
        <v>35</v>
      </c>
      <c r="E246" s="7" t="s">
        <v>26</v>
      </c>
      <c r="F246" s="7" t="s">
        <v>28</v>
      </c>
      <c r="G246" s="7" t="s">
        <v>1301</v>
      </c>
      <c r="H246" s="7" t="s">
        <v>280</v>
      </c>
      <c r="I246" s="13" t="s">
        <v>36</v>
      </c>
      <c r="J246" s="13" t="str">
        <f t="shared" si="8"/>
        <v>2019</v>
      </c>
      <c r="K246" s="13" t="s">
        <v>1387</v>
      </c>
      <c r="L246" s="13" t="s">
        <v>37</v>
      </c>
      <c r="M246" s="13" t="s">
        <v>37</v>
      </c>
      <c r="N246" s="13" t="s">
        <v>1407</v>
      </c>
      <c r="O246" s="14" t="s">
        <v>1408</v>
      </c>
      <c r="P246" s="7" t="s">
        <v>1409</v>
      </c>
      <c r="Q246" s="7" t="s">
        <v>1305</v>
      </c>
      <c r="R246" s="7" t="s">
        <v>1306</v>
      </c>
      <c r="S246" s="7" t="s">
        <v>1410</v>
      </c>
      <c r="T246" s="7" t="s">
        <v>43</v>
      </c>
      <c r="U246" s="7">
        <v>3399623</v>
      </c>
      <c r="V246" s="7" t="str">
        <f t="shared" si="9"/>
        <v>09/26/2019</v>
      </c>
      <c r="W246" s="7" t="s">
        <v>44</v>
      </c>
      <c r="X246" s="7" t="s">
        <v>1411</v>
      </c>
    </row>
    <row r="247" spans="1:24" x14ac:dyDescent="0.25">
      <c r="A247" t="s">
        <v>24</v>
      </c>
      <c r="B247" s="7" t="s">
        <v>1299</v>
      </c>
      <c r="C247" s="7" t="s">
        <v>1412</v>
      </c>
      <c r="D247" s="7" t="s">
        <v>35</v>
      </c>
      <c r="E247" s="7" t="s">
        <v>26</v>
      </c>
      <c r="F247" s="7" t="s">
        <v>28</v>
      </c>
      <c r="G247" s="7" t="s">
        <v>1301</v>
      </c>
      <c r="H247" s="7" t="s">
        <v>280</v>
      </c>
      <c r="I247" s="13" t="s">
        <v>36</v>
      </c>
      <c r="J247" s="13" t="str">
        <f t="shared" si="8"/>
        <v>2019</v>
      </c>
      <c r="K247" s="13" t="s">
        <v>1387</v>
      </c>
      <c r="L247" s="13" t="s">
        <v>37</v>
      </c>
      <c r="M247" s="13" t="s">
        <v>37</v>
      </c>
      <c r="N247" s="13" t="s">
        <v>1413</v>
      </c>
      <c r="O247" s="14" t="s">
        <v>1414</v>
      </c>
      <c r="P247" s="7" t="s">
        <v>1415</v>
      </c>
      <c r="Q247" s="7" t="s">
        <v>1305</v>
      </c>
      <c r="R247" s="7" t="s">
        <v>1306</v>
      </c>
      <c r="S247" s="7" t="s">
        <v>1416</v>
      </c>
      <c r="T247" s="7" t="s">
        <v>43</v>
      </c>
      <c r="U247" s="7">
        <v>3399624</v>
      </c>
      <c r="V247" s="7" t="str">
        <f t="shared" si="9"/>
        <v>09/26/2019</v>
      </c>
      <c r="W247" s="7" t="s">
        <v>44</v>
      </c>
      <c r="X247" s="7"/>
    </row>
    <row r="248" spans="1:24" s="17" customFormat="1" x14ac:dyDescent="0.25">
      <c r="A248" s="17" t="s">
        <v>24</v>
      </c>
      <c r="B248" s="17" t="s">
        <v>1299</v>
      </c>
      <c r="C248" s="17" t="s">
        <v>1417</v>
      </c>
      <c r="D248" s="17" t="s">
        <v>35</v>
      </c>
      <c r="E248" s="17" t="s">
        <v>26</v>
      </c>
      <c r="F248" s="17" t="s">
        <v>28</v>
      </c>
      <c r="G248" s="17" t="s">
        <v>1301</v>
      </c>
      <c r="H248" s="18" t="s">
        <v>280</v>
      </c>
      <c r="I248" s="18" t="s">
        <v>36</v>
      </c>
      <c r="J248" s="18" t="str">
        <f t="shared" si="8"/>
        <v>2019</v>
      </c>
      <c r="K248" s="18"/>
      <c r="L248" s="18" t="s">
        <v>37</v>
      </c>
      <c r="M248" s="18" t="s">
        <v>37</v>
      </c>
      <c r="N248" s="19"/>
      <c r="O248" s="17" t="s">
        <v>1418</v>
      </c>
      <c r="P248" s="17" t="s">
        <v>1419</v>
      </c>
      <c r="Q248" s="17" t="s">
        <v>1305</v>
      </c>
      <c r="R248" s="17" t="s">
        <v>1306</v>
      </c>
      <c r="S248" s="17" t="s">
        <v>1420</v>
      </c>
      <c r="T248" s="17" t="s">
        <v>43</v>
      </c>
      <c r="U248" s="17">
        <v>3399625</v>
      </c>
      <c r="V248" s="17" t="str">
        <f t="shared" si="9"/>
        <v>09/26/2019</v>
      </c>
      <c r="W248" s="17" t="s">
        <v>44</v>
      </c>
    </row>
    <row r="249" spans="1:24" s="17" customFormat="1" x14ac:dyDescent="0.25">
      <c r="A249" s="17" t="s">
        <v>24</v>
      </c>
      <c r="B249" s="17" t="s">
        <v>1299</v>
      </c>
      <c r="C249" s="17" t="s">
        <v>1421</v>
      </c>
      <c r="D249" s="17" t="s">
        <v>35</v>
      </c>
      <c r="E249" s="17" t="s">
        <v>26</v>
      </c>
      <c r="F249" s="17" t="s">
        <v>28</v>
      </c>
      <c r="G249" s="17" t="s">
        <v>1301</v>
      </c>
      <c r="H249" s="18" t="s">
        <v>280</v>
      </c>
      <c r="I249" s="18" t="s">
        <v>36</v>
      </c>
      <c r="J249" s="18" t="str">
        <f t="shared" si="8"/>
        <v>2019</v>
      </c>
      <c r="K249" s="18"/>
      <c r="L249" s="18" t="s">
        <v>37</v>
      </c>
      <c r="M249" s="18" t="s">
        <v>37</v>
      </c>
      <c r="N249" s="19"/>
      <c r="O249" s="17" t="s">
        <v>1422</v>
      </c>
      <c r="P249" s="17" t="s">
        <v>1423</v>
      </c>
      <c r="Q249" s="17" t="s">
        <v>1305</v>
      </c>
      <c r="R249" s="17" t="s">
        <v>1306</v>
      </c>
      <c r="S249" s="17" t="s">
        <v>1424</v>
      </c>
      <c r="T249" s="17" t="s">
        <v>43</v>
      </c>
      <c r="U249" s="17">
        <v>3399626</v>
      </c>
      <c r="V249" s="17" t="str">
        <f t="shared" si="9"/>
        <v>09/26/2019</v>
      </c>
      <c r="W249" s="17" t="s">
        <v>44</v>
      </c>
    </row>
    <row r="250" spans="1:24" s="17" customFormat="1" x14ac:dyDescent="0.25">
      <c r="A250" s="17" t="s">
        <v>24</v>
      </c>
      <c r="B250" s="17" t="s">
        <v>1299</v>
      </c>
      <c r="C250" s="17" t="s">
        <v>1425</v>
      </c>
      <c r="D250" s="17" t="s">
        <v>35</v>
      </c>
      <c r="E250" s="17" t="s">
        <v>26</v>
      </c>
      <c r="F250" s="17" t="s">
        <v>28</v>
      </c>
      <c r="G250" s="17" t="s">
        <v>1301</v>
      </c>
      <c r="H250" s="18" t="s">
        <v>280</v>
      </c>
      <c r="I250" s="18" t="s">
        <v>36</v>
      </c>
      <c r="J250" s="18" t="str">
        <f t="shared" si="8"/>
        <v>2019</v>
      </c>
      <c r="K250" s="18"/>
      <c r="L250" s="18" t="s">
        <v>37</v>
      </c>
      <c r="M250" s="18" t="s">
        <v>37</v>
      </c>
      <c r="N250" s="19"/>
      <c r="O250" s="17" t="s">
        <v>1426</v>
      </c>
      <c r="P250" s="17" t="s">
        <v>1427</v>
      </c>
      <c r="Q250" s="17" t="s">
        <v>1305</v>
      </c>
      <c r="R250" s="17" t="s">
        <v>1306</v>
      </c>
      <c r="S250" s="17" t="s">
        <v>1428</v>
      </c>
      <c r="T250" s="17" t="s">
        <v>43</v>
      </c>
      <c r="U250" s="17">
        <v>3399627</v>
      </c>
      <c r="V250" s="17" t="str">
        <f t="shared" si="9"/>
        <v>09/26/2019</v>
      </c>
      <c r="W250" s="17" t="s">
        <v>44</v>
      </c>
    </row>
    <row r="251" spans="1:24" s="17" customFormat="1" x14ac:dyDescent="0.25">
      <c r="A251" s="17" t="s">
        <v>24</v>
      </c>
      <c r="B251" s="17" t="s">
        <v>1299</v>
      </c>
      <c r="C251" s="17" t="s">
        <v>1429</v>
      </c>
      <c r="D251" s="17" t="s">
        <v>35</v>
      </c>
      <c r="E251" s="17" t="s">
        <v>26</v>
      </c>
      <c r="F251" s="17" t="s">
        <v>28</v>
      </c>
      <c r="G251" s="17" t="s">
        <v>1301</v>
      </c>
      <c r="H251" s="18" t="s">
        <v>280</v>
      </c>
      <c r="I251" s="18" t="s">
        <v>36</v>
      </c>
      <c r="J251" s="18" t="str">
        <f t="shared" si="8"/>
        <v>2019</v>
      </c>
      <c r="K251" s="18"/>
      <c r="L251" s="18" t="s">
        <v>37</v>
      </c>
      <c r="M251" s="18" t="s">
        <v>37</v>
      </c>
      <c r="N251" s="19"/>
      <c r="O251" s="17" t="s">
        <v>1430</v>
      </c>
      <c r="P251" s="17" t="s">
        <v>1431</v>
      </c>
      <c r="Q251" s="17" t="s">
        <v>1305</v>
      </c>
      <c r="R251" s="17" t="s">
        <v>1306</v>
      </c>
      <c r="S251" s="17" t="s">
        <v>1432</v>
      </c>
      <c r="T251" s="17" t="s">
        <v>43</v>
      </c>
      <c r="U251" s="17">
        <v>3399628</v>
      </c>
      <c r="V251" s="17" t="str">
        <f t="shared" si="9"/>
        <v>09/26/2019</v>
      </c>
      <c r="W251" s="17" t="s">
        <v>44</v>
      </c>
      <c r="X251" s="17" t="s">
        <v>1433</v>
      </c>
    </row>
    <row r="252" spans="1:24" s="17" customFormat="1" x14ac:dyDescent="0.25">
      <c r="A252" s="17" t="s">
        <v>24</v>
      </c>
      <c r="B252" s="17" t="s">
        <v>1299</v>
      </c>
      <c r="C252" s="17" t="s">
        <v>1434</v>
      </c>
      <c r="D252" s="17" t="s">
        <v>35</v>
      </c>
      <c r="E252" s="17" t="s">
        <v>26</v>
      </c>
      <c r="F252" s="17" t="s">
        <v>28</v>
      </c>
      <c r="G252" s="17" t="s">
        <v>1301</v>
      </c>
      <c r="H252" s="18" t="s">
        <v>280</v>
      </c>
      <c r="I252" s="18" t="s">
        <v>36</v>
      </c>
      <c r="J252" s="18" t="str">
        <f t="shared" si="8"/>
        <v>2019</v>
      </c>
      <c r="K252" s="18"/>
      <c r="L252" s="18" t="s">
        <v>37</v>
      </c>
      <c r="M252" s="18" t="s">
        <v>37</v>
      </c>
      <c r="N252" s="19"/>
      <c r="O252" s="17" t="s">
        <v>1435</v>
      </c>
      <c r="P252" s="17" t="s">
        <v>1436</v>
      </c>
      <c r="Q252" s="17" t="s">
        <v>1305</v>
      </c>
      <c r="R252" s="17" t="s">
        <v>1306</v>
      </c>
      <c r="S252" s="17" t="s">
        <v>1437</v>
      </c>
      <c r="T252" s="17" t="s">
        <v>43</v>
      </c>
      <c r="U252" s="17">
        <v>3399629</v>
      </c>
      <c r="V252" s="17" t="str">
        <f t="shared" si="9"/>
        <v>09/26/2019</v>
      </c>
      <c r="W252" s="17" t="s">
        <v>44</v>
      </c>
      <c r="X252" s="17" t="s">
        <v>1438</v>
      </c>
    </row>
    <row r="253" spans="1:24" s="17" customFormat="1" x14ac:dyDescent="0.25">
      <c r="A253" s="17" t="s">
        <v>24</v>
      </c>
      <c r="B253" s="17" t="s">
        <v>1299</v>
      </c>
      <c r="C253" s="17" t="s">
        <v>1439</v>
      </c>
      <c r="D253" s="17" t="s">
        <v>35</v>
      </c>
      <c r="E253" s="17" t="s">
        <v>26</v>
      </c>
      <c r="F253" s="17" t="s">
        <v>28</v>
      </c>
      <c r="G253" s="17" t="s">
        <v>1301</v>
      </c>
      <c r="H253" s="18" t="s">
        <v>280</v>
      </c>
      <c r="I253" s="18" t="s">
        <v>36</v>
      </c>
      <c r="J253" s="18" t="str">
        <f t="shared" si="8"/>
        <v>2019</v>
      </c>
      <c r="K253" s="18"/>
      <c r="L253" s="18" t="s">
        <v>37</v>
      </c>
      <c r="M253" s="18" t="s">
        <v>37</v>
      </c>
      <c r="N253" s="19"/>
      <c r="O253" s="17" t="s">
        <v>1440</v>
      </c>
      <c r="P253" s="17" t="s">
        <v>1441</v>
      </c>
      <c r="Q253" s="17" t="s">
        <v>1305</v>
      </c>
      <c r="R253" s="17" t="s">
        <v>1306</v>
      </c>
      <c r="S253" s="17" t="s">
        <v>1442</v>
      </c>
      <c r="T253" s="17" t="s">
        <v>43</v>
      </c>
      <c r="U253" s="17">
        <v>3399630</v>
      </c>
      <c r="V253" s="17" t="str">
        <f t="shared" si="9"/>
        <v>09/26/2019</v>
      </c>
      <c r="W253" s="17" t="s">
        <v>44</v>
      </c>
    </row>
    <row r="254" spans="1:24" s="17" customFormat="1" x14ac:dyDescent="0.25">
      <c r="A254" s="17" t="s">
        <v>24</v>
      </c>
      <c r="B254" s="17" t="s">
        <v>1299</v>
      </c>
      <c r="C254" s="17" t="s">
        <v>1443</v>
      </c>
      <c r="D254" s="17" t="s">
        <v>35</v>
      </c>
      <c r="E254" s="17" t="s">
        <v>26</v>
      </c>
      <c r="F254" s="17" t="s">
        <v>28</v>
      </c>
      <c r="G254" s="17" t="s">
        <v>1301</v>
      </c>
      <c r="H254" s="18" t="s">
        <v>280</v>
      </c>
      <c r="I254" s="18" t="s">
        <v>36</v>
      </c>
      <c r="J254" s="18" t="str">
        <f t="shared" si="8"/>
        <v>2019</v>
      </c>
      <c r="K254" s="18"/>
      <c r="L254" s="18" t="s">
        <v>37</v>
      </c>
      <c r="M254" s="18" t="s">
        <v>37</v>
      </c>
      <c r="N254" s="19"/>
      <c r="O254" s="17" t="s">
        <v>1444</v>
      </c>
      <c r="P254" s="17" t="s">
        <v>1445</v>
      </c>
      <c r="Q254" s="17" t="s">
        <v>1305</v>
      </c>
      <c r="R254" s="17" t="s">
        <v>1306</v>
      </c>
      <c r="S254" s="17" t="s">
        <v>1446</v>
      </c>
      <c r="T254" s="17" t="s">
        <v>43</v>
      </c>
      <c r="U254" s="17">
        <v>3399631</v>
      </c>
      <c r="V254" s="17" t="str">
        <f t="shared" si="9"/>
        <v>09/26/2019</v>
      </c>
      <c r="W254" s="17" t="s">
        <v>44</v>
      </c>
    </row>
    <row r="255" spans="1:24" s="17" customFormat="1" x14ac:dyDescent="0.25">
      <c r="A255" s="17" t="s">
        <v>24</v>
      </c>
      <c r="B255" s="17" t="s">
        <v>1299</v>
      </c>
      <c r="C255" s="17" t="s">
        <v>1447</v>
      </c>
      <c r="D255" s="17" t="s">
        <v>35</v>
      </c>
      <c r="E255" s="17" t="s">
        <v>26</v>
      </c>
      <c r="F255" s="17" t="s">
        <v>28</v>
      </c>
      <c r="G255" s="17" t="s">
        <v>1301</v>
      </c>
      <c r="H255" s="18" t="s">
        <v>280</v>
      </c>
      <c r="I255" s="18" t="s">
        <v>36</v>
      </c>
      <c r="J255" s="18" t="str">
        <f t="shared" si="8"/>
        <v>2019</v>
      </c>
      <c r="K255" s="18"/>
      <c r="L255" s="18" t="s">
        <v>37</v>
      </c>
      <c r="M255" s="18" t="s">
        <v>37</v>
      </c>
      <c r="N255" s="19"/>
      <c r="O255" s="17" t="s">
        <v>1448</v>
      </c>
      <c r="P255" s="17" t="s">
        <v>1449</v>
      </c>
      <c r="Q255" s="17" t="s">
        <v>1305</v>
      </c>
      <c r="R255" s="17" t="s">
        <v>1306</v>
      </c>
      <c r="S255" s="17" t="s">
        <v>1450</v>
      </c>
      <c r="T255" s="17" t="s">
        <v>43</v>
      </c>
      <c r="U255" s="17">
        <v>3399632</v>
      </c>
      <c r="V255" s="17" t="str">
        <f t="shared" si="9"/>
        <v>09/26/2019</v>
      </c>
      <c r="W255" s="17" t="s">
        <v>44</v>
      </c>
      <c r="X255" s="17" t="s">
        <v>1451</v>
      </c>
    </row>
    <row r="256" spans="1:24" s="17" customFormat="1" x14ac:dyDescent="0.25">
      <c r="A256" s="17" t="s">
        <v>24</v>
      </c>
      <c r="B256" s="17" t="s">
        <v>1299</v>
      </c>
      <c r="C256" s="17" t="s">
        <v>1452</v>
      </c>
      <c r="D256" s="17" t="s">
        <v>35</v>
      </c>
      <c r="E256" s="17" t="s">
        <v>26</v>
      </c>
      <c r="F256" s="17" t="s">
        <v>28</v>
      </c>
      <c r="G256" s="17" t="s">
        <v>1301</v>
      </c>
      <c r="H256" s="18" t="s">
        <v>280</v>
      </c>
      <c r="I256" s="18" t="s">
        <v>36</v>
      </c>
      <c r="J256" s="18" t="str">
        <f t="shared" si="8"/>
        <v>2019</v>
      </c>
      <c r="K256" s="18"/>
      <c r="L256" s="18" t="s">
        <v>37</v>
      </c>
      <c r="M256" s="18" t="s">
        <v>37</v>
      </c>
      <c r="N256" s="19"/>
      <c r="O256" s="17" t="s">
        <v>1453</v>
      </c>
      <c r="P256" s="17" t="s">
        <v>1454</v>
      </c>
      <c r="Q256" s="17" t="s">
        <v>1305</v>
      </c>
      <c r="R256" s="17" t="s">
        <v>1306</v>
      </c>
      <c r="S256" s="17" t="s">
        <v>1455</v>
      </c>
      <c r="T256" s="17" t="s">
        <v>43</v>
      </c>
      <c r="U256" s="17">
        <v>3399633</v>
      </c>
      <c r="V256" s="17" t="str">
        <f t="shared" si="9"/>
        <v>09/26/2019</v>
      </c>
      <c r="W256" s="17" t="s">
        <v>44</v>
      </c>
      <c r="X256" s="17" t="s">
        <v>1456</v>
      </c>
    </row>
    <row r="257" spans="1:24" s="17" customFormat="1" x14ac:dyDescent="0.25">
      <c r="A257" s="17" t="s">
        <v>24</v>
      </c>
      <c r="B257" s="17" t="s">
        <v>1299</v>
      </c>
      <c r="C257" s="17" t="s">
        <v>1457</v>
      </c>
      <c r="D257" s="17" t="s">
        <v>35</v>
      </c>
      <c r="E257" s="17" t="s">
        <v>26</v>
      </c>
      <c r="F257" s="17" t="s">
        <v>28</v>
      </c>
      <c r="G257" s="17" t="s">
        <v>1301</v>
      </c>
      <c r="H257" s="18" t="s">
        <v>280</v>
      </c>
      <c r="I257" s="18" t="s">
        <v>36</v>
      </c>
      <c r="J257" s="18" t="str">
        <f t="shared" si="8"/>
        <v>2019</v>
      </c>
      <c r="K257" s="18"/>
      <c r="L257" s="18" t="s">
        <v>37</v>
      </c>
      <c r="M257" s="18" t="s">
        <v>37</v>
      </c>
      <c r="N257" s="19"/>
      <c r="O257" s="17" t="s">
        <v>1458</v>
      </c>
      <c r="P257" s="17" t="s">
        <v>1459</v>
      </c>
      <c r="Q257" s="17" t="s">
        <v>1305</v>
      </c>
      <c r="R257" s="17" t="s">
        <v>1306</v>
      </c>
      <c r="S257" s="17" t="s">
        <v>1460</v>
      </c>
      <c r="T257" s="17" t="s">
        <v>43</v>
      </c>
      <c r="U257" s="17">
        <v>3399634</v>
      </c>
      <c r="V257" s="17" t="str">
        <f t="shared" si="9"/>
        <v>09/26/2019</v>
      </c>
      <c r="W257" s="17" t="s">
        <v>44</v>
      </c>
      <c r="X257" s="17" t="s">
        <v>1461</v>
      </c>
    </row>
    <row r="258" spans="1:24" s="17" customFormat="1" hidden="1" x14ac:dyDescent="0.25">
      <c r="A258" s="17" t="s">
        <v>24</v>
      </c>
      <c r="B258" s="17" t="s">
        <v>1299</v>
      </c>
      <c r="C258" s="17" t="s">
        <v>1461</v>
      </c>
      <c r="D258" s="17" t="s">
        <v>35</v>
      </c>
      <c r="E258" s="17" t="s">
        <v>26</v>
      </c>
      <c r="F258" s="17" t="s">
        <v>26</v>
      </c>
      <c r="G258" s="17" t="s">
        <v>37</v>
      </c>
      <c r="H258" s="18" t="s">
        <v>28</v>
      </c>
      <c r="I258" s="18" t="s">
        <v>36</v>
      </c>
      <c r="J258" s="18" t="str">
        <f t="shared" si="8"/>
        <v>2019</v>
      </c>
      <c r="K258" s="18"/>
      <c r="L258" s="18"/>
      <c r="M258" s="18"/>
      <c r="N258" s="19"/>
      <c r="O258" s="17" t="s">
        <v>1462</v>
      </c>
      <c r="P258" s="17" t="s">
        <v>1463</v>
      </c>
      <c r="Q258" s="17" t="s">
        <v>1305</v>
      </c>
      <c r="R258" s="17" t="s">
        <v>1306</v>
      </c>
      <c r="S258" s="17" t="s">
        <v>1464</v>
      </c>
      <c r="T258" s="17" t="s">
        <v>43</v>
      </c>
      <c r="U258" s="17">
        <v>3399635</v>
      </c>
      <c r="V258" s="17" t="str">
        <f t="shared" si="9"/>
        <v>09/26/2019</v>
      </c>
      <c r="W258" s="17" t="s">
        <v>44</v>
      </c>
    </row>
    <row r="259" spans="1:24" s="17" customFormat="1" x14ac:dyDescent="0.25">
      <c r="A259" s="17" t="s">
        <v>24</v>
      </c>
      <c r="B259" s="17" t="s">
        <v>1299</v>
      </c>
      <c r="C259" s="17" t="s">
        <v>1465</v>
      </c>
      <c r="D259" s="17" t="s">
        <v>35</v>
      </c>
      <c r="E259" s="17" t="s">
        <v>26</v>
      </c>
      <c r="F259" s="17" t="s">
        <v>28</v>
      </c>
      <c r="G259" s="17" t="s">
        <v>1301</v>
      </c>
      <c r="H259" s="18" t="s">
        <v>280</v>
      </c>
      <c r="I259" s="18" t="s">
        <v>36</v>
      </c>
      <c r="J259" s="18" t="str">
        <f t="shared" si="8"/>
        <v>2019</v>
      </c>
      <c r="K259" s="18"/>
      <c r="L259" s="18" t="s">
        <v>37</v>
      </c>
      <c r="M259" s="18" t="s">
        <v>37</v>
      </c>
      <c r="N259" s="19"/>
      <c r="O259" s="17" t="s">
        <v>1466</v>
      </c>
      <c r="P259" s="17" t="s">
        <v>1467</v>
      </c>
      <c r="Q259" s="17" t="s">
        <v>1305</v>
      </c>
      <c r="R259" s="17" t="s">
        <v>1306</v>
      </c>
      <c r="S259" s="17" t="s">
        <v>1468</v>
      </c>
      <c r="T259" s="17" t="s">
        <v>43</v>
      </c>
      <c r="U259" s="17">
        <v>3399636</v>
      </c>
      <c r="V259" s="17" t="str">
        <f t="shared" si="9"/>
        <v>09/26/2019</v>
      </c>
      <c r="W259" s="17" t="s">
        <v>44</v>
      </c>
    </row>
    <row r="260" spans="1:24" s="17" customFormat="1" x14ac:dyDescent="0.25">
      <c r="A260" s="17" t="s">
        <v>24</v>
      </c>
      <c r="B260" s="17" t="s">
        <v>1299</v>
      </c>
      <c r="C260" s="17" t="s">
        <v>1469</v>
      </c>
      <c r="D260" s="17" t="s">
        <v>35</v>
      </c>
      <c r="E260" s="17" t="s">
        <v>26</v>
      </c>
      <c r="F260" s="17" t="s">
        <v>28</v>
      </c>
      <c r="G260" s="17" t="s">
        <v>1301</v>
      </c>
      <c r="H260" s="18" t="s">
        <v>280</v>
      </c>
      <c r="I260" s="18" t="s">
        <v>36</v>
      </c>
      <c r="J260" s="18" t="str">
        <f t="shared" ref="J260:J323" si="10">RIGHT(I260,4)</f>
        <v>2019</v>
      </c>
      <c r="K260" s="18"/>
      <c r="L260" s="18" t="s">
        <v>37</v>
      </c>
      <c r="M260" s="18" t="s">
        <v>37</v>
      </c>
      <c r="N260" s="19"/>
      <c r="O260" s="17" t="s">
        <v>1470</v>
      </c>
      <c r="P260" s="17" t="s">
        <v>1471</v>
      </c>
      <c r="Q260" s="17" t="s">
        <v>1305</v>
      </c>
      <c r="R260" s="17" t="s">
        <v>1306</v>
      </c>
      <c r="S260" s="17" t="s">
        <v>1472</v>
      </c>
      <c r="T260" s="17" t="s">
        <v>43</v>
      </c>
      <c r="U260" s="17">
        <v>3399637</v>
      </c>
      <c r="V260" s="17" t="str">
        <f t="shared" si="9"/>
        <v>09/26/2019</v>
      </c>
      <c r="W260" s="17" t="s">
        <v>44</v>
      </c>
    </row>
    <row r="261" spans="1:24" s="17" customFormat="1" hidden="1" x14ac:dyDescent="0.25">
      <c r="A261" s="17" t="s">
        <v>24</v>
      </c>
      <c r="B261" s="17" t="s">
        <v>1299</v>
      </c>
      <c r="C261" s="17" t="s">
        <v>1473</v>
      </c>
      <c r="D261" s="17" t="s">
        <v>35</v>
      </c>
      <c r="E261" s="17" t="s">
        <v>26</v>
      </c>
      <c r="F261" s="17" t="s">
        <v>26</v>
      </c>
      <c r="G261" s="17" t="s">
        <v>37</v>
      </c>
      <c r="H261" s="18" t="s">
        <v>28</v>
      </c>
      <c r="I261" s="18" t="s">
        <v>36</v>
      </c>
      <c r="J261" s="18" t="str">
        <f t="shared" si="10"/>
        <v>2019</v>
      </c>
      <c r="K261" s="18"/>
      <c r="L261" s="18"/>
      <c r="M261" s="18"/>
      <c r="N261" s="19"/>
      <c r="O261" s="17" t="s">
        <v>1474</v>
      </c>
      <c r="P261" s="17" t="s">
        <v>1475</v>
      </c>
      <c r="Q261" s="17" t="s">
        <v>1305</v>
      </c>
      <c r="R261" s="17" t="s">
        <v>1306</v>
      </c>
      <c r="S261" s="17" t="s">
        <v>1476</v>
      </c>
      <c r="T261" s="17" t="s">
        <v>43</v>
      </c>
      <c r="U261" s="17">
        <v>3399638</v>
      </c>
      <c r="V261" s="17" t="str">
        <f t="shared" si="9"/>
        <v>09/26/2019</v>
      </c>
      <c r="W261" s="17" t="s">
        <v>44</v>
      </c>
    </row>
    <row r="262" spans="1:24" s="17" customFormat="1" x14ac:dyDescent="0.25">
      <c r="A262" s="17" t="s">
        <v>24</v>
      </c>
      <c r="B262" s="17" t="s">
        <v>1299</v>
      </c>
      <c r="C262" s="17" t="s">
        <v>1477</v>
      </c>
      <c r="D262" s="17" t="s">
        <v>35</v>
      </c>
      <c r="E262" s="17" t="s">
        <v>26</v>
      </c>
      <c r="F262" s="17" t="s">
        <v>28</v>
      </c>
      <c r="G262" s="17" t="s">
        <v>1301</v>
      </c>
      <c r="H262" s="18" t="s">
        <v>280</v>
      </c>
      <c r="I262" s="18" t="s">
        <v>36</v>
      </c>
      <c r="J262" s="18" t="str">
        <f t="shared" si="10"/>
        <v>2019</v>
      </c>
      <c r="K262" s="18"/>
      <c r="L262" s="18" t="s">
        <v>37</v>
      </c>
      <c r="M262" s="18" t="s">
        <v>37</v>
      </c>
      <c r="N262" s="19"/>
      <c r="O262" s="17" t="s">
        <v>1478</v>
      </c>
      <c r="P262" s="17" t="s">
        <v>1479</v>
      </c>
      <c r="Q262" s="17" t="s">
        <v>1305</v>
      </c>
      <c r="R262" s="17" t="s">
        <v>1306</v>
      </c>
      <c r="S262" s="17" t="s">
        <v>1480</v>
      </c>
      <c r="T262" s="17" t="s">
        <v>43</v>
      </c>
      <c r="U262" s="17">
        <v>3399639</v>
      </c>
      <c r="V262" s="17" t="str">
        <f t="shared" si="9"/>
        <v>09/26/2019</v>
      </c>
      <c r="W262" s="17" t="s">
        <v>44</v>
      </c>
    </row>
    <row r="263" spans="1:24" s="17" customFormat="1" x14ac:dyDescent="0.25">
      <c r="A263" s="17" t="s">
        <v>24</v>
      </c>
      <c r="B263" s="17" t="s">
        <v>1299</v>
      </c>
      <c r="C263" s="17" t="s">
        <v>1481</v>
      </c>
      <c r="D263" s="17" t="s">
        <v>35</v>
      </c>
      <c r="E263" s="17" t="s">
        <v>26</v>
      </c>
      <c r="F263" s="17" t="s">
        <v>28</v>
      </c>
      <c r="G263" s="17" t="s">
        <v>1301</v>
      </c>
      <c r="H263" s="18" t="s">
        <v>280</v>
      </c>
      <c r="I263" s="18" t="s">
        <v>36</v>
      </c>
      <c r="J263" s="18" t="str">
        <f t="shared" si="10"/>
        <v>2019</v>
      </c>
      <c r="K263" s="18"/>
      <c r="L263" s="18" t="s">
        <v>37</v>
      </c>
      <c r="M263" s="18" t="s">
        <v>37</v>
      </c>
      <c r="N263" s="19"/>
      <c r="O263" s="17" t="s">
        <v>1482</v>
      </c>
      <c r="P263" s="17" t="s">
        <v>1483</v>
      </c>
      <c r="Q263" s="17" t="s">
        <v>1305</v>
      </c>
      <c r="R263" s="17" t="s">
        <v>1306</v>
      </c>
      <c r="S263" s="17" t="s">
        <v>1484</v>
      </c>
      <c r="T263" s="17" t="s">
        <v>43</v>
      </c>
      <c r="U263" s="17">
        <v>3399640</v>
      </c>
      <c r="V263" s="17" t="str">
        <f t="shared" ref="V263:V326" si="11">TEXT(DATEVALUE(LEFT(O263,10)), "mm/dd/yyyy")</f>
        <v>09/26/2019</v>
      </c>
      <c r="W263" s="17" t="s">
        <v>44</v>
      </c>
    </row>
    <row r="264" spans="1:24" s="17" customFormat="1" x14ac:dyDescent="0.25">
      <c r="A264" s="17" t="s">
        <v>24</v>
      </c>
      <c r="B264" s="17" t="s">
        <v>1299</v>
      </c>
      <c r="C264" s="17" t="s">
        <v>1485</v>
      </c>
      <c r="D264" s="17" t="s">
        <v>35</v>
      </c>
      <c r="E264" s="17" t="s">
        <v>26</v>
      </c>
      <c r="F264" s="17" t="s">
        <v>28</v>
      </c>
      <c r="G264" s="17" t="s">
        <v>1301</v>
      </c>
      <c r="H264" s="18" t="s">
        <v>280</v>
      </c>
      <c r="I264" s="18" t="s">
        <v>36</v>
      </c>
      <c r="J264" s="18" t="str">
        <f t="shared" si="10"/>
        <v>2019</v>
      </c>
      <c r="K264" s="18"/>
      <c r="L264" s="18" t="s">
        <v>37</v>
      </c>
      <c r="M264" s="18" t="s">
        <v>37</v>
      </c>
      <c r="N264" s="19"/>
      <c r="O264" s="17" t="s">
        <v>1486</v>
      </c>
      <c r="P264" s="17" t="s">
        <v>1487</v>
      </c>
      <c r="Q264" s="17" t="s">
        <v>1305</v>
      </c>
      <c r="R264" s="17" t="s">
        <v>1306</v>
      </c>
      <c r="S264" s="17" t="s">
        <v>1488</v>
      </c>
      <c r="T264" s="17" t="s">
        <v>43</v>
      </c>
      <c r="U264" s="17">
        <v>3399641</v>
      </c>
      <c r="V264" s="17" t="str">
        <f t="shared" si="11"/>
        <v>09/26/2019</v>
      </c>
      <c r="W264" s="17" t="s">
        <v>44</v>
      </c>
    </row>
    <row r="265" spans="1:24" s="17" customFormat="1" hidden="1" x14ac:dyDescent="0.25">
      <c r="A265" s="17" t="s">
        <v>24</v>
      </c>
      <c r="B265" s="17" t="s">
        <v>1299</v>
      </c>
      <c r="C265" s="17" t="s">
        <v>1489</v>
      </c>
      <c r="D265" s="17" t="s">
        <v>35</v>
      </c>
      <c r="E265" s="17" t="s">
        <v>26</v>
      </c>
      <c r="F265" s="17" t="s">
        <v>26</v>
      </c>
      <c r="G265" s="17" t="s">
        <v>37</v>
      </c>
      <c r="H265" s="18" t="s">
        <v>28</v>
      </c>
      <c r="I265" s="18" t="s">
        <v>36</v>
      </c>
      <c r="J265" s="18" t="str">
        <f t="shared" si="10"/>
        <v>2019</v>
      </c>
      <c r="K265" s="18"/>
      <c r="L265" s="18"/>
      <c r="M265" s="18"/>
      <c r="N265" s="19"/>
      <c r="O265" s="17" t="s">
        <v>1490</v>
      </c>
      <c r="P265" s="17" t="s">
        <v>1491</v>
      </c>
      <c r="Q265" s="17" t="s">
        <v>1305</v>
      </c>
      <c r="R265" s="17" t="s">
        <v>1306</v>
      </c>
      <c r="S265" s="17" t="s">
        <v>1492</v>
      </c>
      <c r="T265" s="17" t="s">
        <v>43</v>
      </c>
      <c r="U265" s="17">
        <v>3399642</v>
      </c>
      <c r="V265" s="17" t="str">
        <f t="shared" si="11"/>
        <v>09/26/2019</v>
      </c>
      <c r="W265" s="17" t="s">
        <v>44</v>
      </c>
    </row>
    <row r="266" spans="1:24" s="17" customFormat="1" x14ac:dyDescent="0.25">
      <c r="A266" s="17" t="s">
        <v>24</v>
      </c>
      <c r="B266" s="17" t="s">
        <v>1299</v>
      </c>
      <c r="C266" s="17" t="s">
        <v>1493</v>
      </c>
      <c r="D266" s="17" t="s">
        <v>35</v>
      </c>
      <c r="E266" s="17" t="s">
        <v>26</v>
      </c>
      <c r="F266" s="17" t="s">
        <v>28</v>
      </c>
      <c r="G266" s="17" t="s">
        <v>1301</v>
      </c>
      <c r="H266" s="18" t="s">
        <v>280</v>
      </c>
      <c r="I266" s="18" t="s">
        <v>36</v>
      </c>
      <c r="J266" s="18" t="str">
        <f t="shared" si="10"/>
        <v>2019</v>
      </c>
      <c r="K266" s="18"/>
      <c r="L266" s="18" t="s">
        <v>37</v>
      </c>
      <c r="M266" s="18" t="s">
        <v>37</v>
      </c>
      <c r="N266" s="19"/>
      <c r="O266" s="17" t="s">
        <v>1494</v>
      </c>
      <c r="P266" s="17" t="s">
        <v>1495</v>
      </c>
      <c r="Q266" s="17" t="s">
        <v>1305</v>
      </c>
      <c r="R266" s="17" t="s">
        <v>1306</v>
      </c>
      <c r="S266" s="17" t="s">
        <v>1496</v>
      </c>
      <c r="T266" s="17" t="s">
        <v>43</v>
      </c>
      <c r="U266" s="17">
        <v>3399643</v>
      </c>
      <c r="V266" s="17" t="str">
        <f t="shared" si="11"/>
        <v>09/26/2019</v>
      </c>
      <c r="W266" s="17" t="s">
        <v>44</v>
      </c>
    </row>
    <row r="267" spans="1:24" s="17" customFormat="1" hidden="1" x14ac:dyDescent="0.25">
      <c r="A267" s="17" t="s">
        <v>24</v>
      </c>
      <c r="B267" s="17" t="s">
        <v>1299</v>
      </c>
      <c r="C267" s="17" t="s">
        <v>1497</v>
      </c>
      <c r="D267" s="17" t="s">
        <v>35</v>
      </c>
      <c r="E267" s="17" t="s">
        <v>26</v>
      </c>
      <c r="F267" s="17" t="s">
        <v>26</v>
      </c>
      <c r="G267" s="17" t="s">
        <v>37</v>
      </c>
      <c r="H267" s="18" t="s">
        <v>28</v>
      </c>
      <c r="I267" s="18" t="s">
        <v>36</v>
      </c>
      <c r="J267" s="18" t="str">
        <f t="shared" si="10"/>
        <v>2019</v>
      </c>
      <c r="K267" s="18"/>
      <c r="L267" s="18"/>
      <c r="M267" s="18"/>
      <c r="N267" s="19"/>
      <c r="O267" s="17" t="s">
        <v>1498</v>
      </c>
      <c r="P267" s="17" t="s">
        <v>1499</v>
      </c>
      <c r="Q267" s="17" t="s">
        <v>1305</v>
      </c>
      <c r="R267" s="17" t="s">
        <v>1306</v>
      </c>
      <c r="S267" s="17" t="s">
        <v>1500</v>
      </c>
      <c r="T267" s="17" t="s">
        <v>43</v>
      </c>
      <c r="U267" s="17">
        <v>3399644</v>
      </c>
      <c r="V267" s="17" t="str">
        <f t="shared" si="11"/>
        <v>09/26/2019</v>
      </c>
      <c r="W267" s="17" t="s">
        <v>44</v>
      </c>
    </row>
    <row r="268" spans="1:24" s="17" customFormat="1" hidden="1" x14ac:dyDescent="0.25">
      <c r="A268" s="17" t="s">
        <v>24</v>
      </c>
      <c r="B268" s="17" t="s">
        <v>1299</v>
      </c>
      <c r="C268" s="17" t="s">
        <v>1501</v>
      </c>
      <c r="D268" s="17" t="s">
        <v>35</v>
      </c>
      <c r="E268" s="17" t="s">
        <v>26</v>
      </c>
      <c r="F268" s="17" t="s">
        <v>26</v>
      </c>
      <c r="G268" s="17" t="s">
        <v>37</v>
      </c>
      <c r="H268" s="18" t="s">
        <v>28</v>
      </c>
      <c r="I268" s="18" t="s">
        <v>36</v>
      </c>
      <c r="J268" s="18" t="str">
        <f t="shared" si="10"/>
        <v>2019</v>
      </c>
      <c r="K268" s="18"/>
      <c r="L268" s="18"/>
      <c r="M268" s="18"/>
      <c r="N268" s="19"/>
      <c r="O268" s="17" t="s">
        <v>1502</v>
      </c>
      <c r="P268" s="17" t="s">
        <v>1503</v>
      </c>
      <c r="Q268" s="17" t="s">
        <v>1305</v>
      </c>
      <c r="R268" s="17" t="s">
        <v>1306</v>
      </c>
      <c r="S268" s="17" t="s">
        <v>1504</v>
      </c>
      <c r="T268" s="17" t="s">
        <v>43</v>
      </c>
      <c r="U268" s="17">
        <v>3399645</v>
      </c>
      <c r="V268" s="17" t="str">
        <f t="shared" si="11"/>
        <v>09/26/2019</v>
      </c>
      <c r="W268" s="17" t="s">
        <v>44</v>
      </c>
    </row>
    <row r="269" spans="1:24" s="17" customFormat="1" x14ac:dyDescent="0.25">
      <c r="A269" s="17" t="s">
        <v>24</v>
      </c>
      <c r="B269" s="17" t="s">
        <v>1299</v>
      </c>
      <c r="C269" s="17" t="s">
        <v>1505</v>
      </c>
      <c r="D269" s="17" t="s">
        <v>35</v>
      </c>
      <c r="E269" s="17" t="s">
        <v>26</v>
      </c>
      <c r="F269" s="17" t="s">
        <v>28</v>
      </c>
      <c r="G269" s="17" t="s">
        <v>1301</v>
      </c>
      <c r="H269" s="18" t="s">
        <v>280</v>
      </c>
      <c r="I269" s="18" t="s">
        <v>36</v>
      </c>
      <c r="J269" s="18" t="str">
        <f t="shared" si="10"/>
        <v>2019</v>
      </c>
      <c r="K269" s="18"/>
      <c r="L269" s="18" t="s">
        <v>37</v>
      </c>
      <c r="M269" s="18" t="s">
        <v>37</v>
      </c>
      <c r="N269" s="19"/>
      <c r="O269" s="17" t="s">
        <v>1506</v>
      </c>
      <c r="P269" s="17" t="s">
        <v>1507</v>
      </c>
      <c r="Q269" s="17" t="s">
        <v>1305</v>
      </c>
      <c r="R269" s="17" t="s">
        <v>1306</v>
      </c>
      <c r="S269" s="17" t="s">
        <v>1508</v>
      </c>
      <c r="T269" s="17" t="s">
        <v>43</v>
      </c>
      <c r="U269" s="17">
        <v>3399646</v>
      </c>
      <c r="V269" s="17" t="str">
        <f t="shared" si="11"/>
        <v>09/26/2019</v>
      </c>
      <c r="W269" s="17" t="s">
        <v>44</v>
      </c>
    </row>
    <row r="270" spans="1:24" s="17" customFormat="1" x14ac:dyDescent="0.25">
      <c r="A270" s="17" t="s">
        <v>24</v>
      </c>
      <c r="B270" s="17" t="s">
        <v>1299</v>
      </c>
      <c r="C270" s="17" t="s">
        <v>1509</v>
      </c>
      <c r="D270" s="17" t="s">
        <v>35</v>
      </c>
      <c r="E270" s="17" t="s">
        <v>26</v>
      </c>
      <c r="F270" s="17" t="s">
        <v>28</v>
      </c>
      <c r="G270" s="17" t="s">
        <v>1301</v>
      </c>
      <c r="H270" s="18" t="s">
        <v>280</v>
      </c>
      <c r="I270" s="18" t="s">
        <v>36</v>
      </c>
      <c r="J270" s="18" t="str">
        <f t="shared" si="10"/>
        <v>2019</v>
      </c>
      <c r="K270" s="18"/>
      <c r="L270" s="18" t="s">
        <v>37</v>
      </c>
      <c r="M270" s="18" t="s">
        <v>37</v>
      </c>
      <c r="N270" s="19"/>
      <c r="O270" s="17" t="s">
        <v>1510</v>
      </c>
      <c r="P270" s="17" t="s">
        <v>1511</v>
      </c>
      <c r="Q270" s="17" t="s">
        <v>1305</v>
      </c>
      <c r="R270" s="17" t="s">
        <v>1306</v>
      </c>
      <c r="S270" s="17" t="s">
        <v>1512</v>
      </c>
      <c r="T270" s="17" t="s">
        <v>43</v>
      </c>
      <c r="U270" s="17">
        <v>3399647</v>
      </c>
      <c r="V270" s="17" t="str">
        <f t="shared" si="11"/>
        <v>09/26/2019</v>
      </c>
      <c r="W270" s="17" t="s">
        <v>44</v>
      </c>
      <c r="X270" s="17" t="s">
        <v>1513</v>
      </c>
    </row>
    <row r="271" spans="1:24" s="17" customFormat="1" x14ac:dyDescent="0.25">
      <c r="A271" s="17" t="s">
        <v>24</v>
      </c>
      <c r="B271" t="s">
        <v>1367</v>
      </c>
      <c r="C271" t="s">
        <v>1514</v>
      </c>
      <c r="D271" t="s">
        <v>107</v>
      </c>
      <c r="E271" t="s">
        <v>28</v>
      </c>
      <c r="F271" t="s">
        <v>28</v>
      </c>
      <c r="G271"/>
      <c r="H271"/>
      <c r="I271" s="3" t="s">
        <v>1369</v>
      </c>
      <c r="J271" s="3" t="str">
        <f t="shared" si="10"/>
        <v>2024</v>
      </c>
      <c r="K271" s="3"/>
      <c r="L271" s="3" t="s">
        <v>37</v>
      </c>
      <c r="M271" s="16" t="s">
        <v>1515</v>
      </c>
      <c r="N271" s="3"/>
      <c r="O271" s="2" t="s">
        <v>1516</v>
      </c>
      <c r="P271" t="s">
        <v>1517</v>
      </c>
      <c r="Q271" t="s">
        <v>1374</v>
      </c>
      <c r="R271" t="s">
        <v>1375</v>
      </c>
      <c r="S271" t="s">
        <v>1518</v>
      </c>
      <c r="T271" t="s">
        <v>43</v>
      </c>
      <c r="U271">
        <v>17231892</v>
      </c>
      <c r="V271" t="str">
        <f t="shared" si="11"/>
        <v>09/13/2024</v>
      </c>
      <c r="W271" t="s">
        <v>44</v>
      </c>
      <c r="X271"/>
    </row>
    <row r="272" spans="1:24" s="17" customFormat="1" x14ac:dyDescent="0.25">
      <c r="A272" s="17" t="s">
        <v>24</v>
      </c>
      <c r="B272" s="17" t="s">
        <v>1299</v>
      </c>
      <c r="C272" s="17" t="s">
        <v>1519</v>
      </c>
      <c r="D272" s="17" t="s">
        <v>35</v>
      </c>
      <c r="E272" s="17" t="s">
        <v>26</v>
      </c>
      <c r="F272" s="17" t="s">
        <v>28</v>
      </c>
      <c r="G272" s="17" t="s">
        <v>1301</v>
      </c>
      <c r="H272" s="18" t="s">
        <v>280</v>
      </c>
      <c r="I272" s="18" t="s">
        <v>36</v>
      </c>
      <c r="J272" s="18" t="str">
        <f t="shared" si="10"/>
        <v>2019</v>
      </c>
      <c r="K272" s="18"/>
      <c r="L272" s="18" t="s">
        <v>37</v>
      </c>
      <c r="M272" s="18" t="s">
        <v>37</v>
      </c>
      <c r="N272" s="19"/>
      <c r="O272" s="17" t="s">
        <v>1520</v>
      </c>
      <c r="P272" s="17" t="s">
        <v>1521</v>
      </c>
      <c r="Q272" s="17" t="s">
        <v>1305</v>
      </c>
      <c r="R272" s="17" t="s">
        <v>1306</v>
      </c>
      <c r="S272" s="17" t="s">
        <v>1522</v>
      </c>
      <c r="T272" s="17" t="s">
        <v>43</v>
      </c>
      <c r="U272" s="17">
        <v>3399649</v>
      </c>
      <c r="V272" s="17" t="str">
        <f t="shared" si="11"/>
        <v>09/26/2019</v>
      </c>
      <c r="W272" s="17" t="s">
        <v>44</v>
      </c>
    </row>
    <row r="273" spans="1:24" s="17" customFormat="1" x14ac:dyDescent="0.25">
      <c r="A273" s="17" t="s">
        <v>24</v>
      </c>
      <c r="B273" s="17" t="s">
        <v>1299</v>
      </c>
      <c r="C273" s="17" t="s">
        <v>1523</v>
      </c>
      <c r="D273" s="17" t="s">
        <v>35</v>
      </c>
      <c r="E273" s="17" t="s">
        <v>26</v>
      </c>
      <c r="F273" s="17" t="s">
        <v>28</v>
      </c>
      <c r="G273" s="17" t="s">
        <v>1301</v>
      </c>
      <c r="H273" s="18" t="s">
        <v>280</v>
      </c>
      <c r="I273" s="18" t="s">
        <v>36</v>
      </c>
      <c r="J273" s="18" t="str">
        <f t="shared" si="10"/>
        <v>2019</v>
      </c>
      <c r="K273" s="18"/>
      <c r="L273" s="18" t="s">
        <v>37</v>
      </c>
      <c r="M273" s="18" t="s">
        <v>37</v>
      </c>
      <c r="N273" s="19"/>
      <c r="O273" s="17" t="s">
        <v>1524</v>
      </c>
      <c r="P273" s="17" t="s">
        <v>1525</v>
      </c>
      <c r="Q273" s="17" t="s">
        <v>1305</v>
      </c>
      <c r="R273" s="17" t="s">
        <v>1306</v>
      </c>
      <c r="S273" s="17" t="s">
        <v>1526</v>
      </c>
      <c r="T273" s="17" t="s">
        <v>43</v>
      </c>
      <c r="U273" s="17">
        <v>3399650</v>
      </c>
      <c r="V273" s="17" t="str">
        <f t="shared" si="11"/>
        <v>09/26/2019</v>
      </c>
      <c r="W273" s="17" t="s">
        <v>44</v>
      </c>
    </row>
    <row r="274" spans="1:24" s="17" customFormat="1" hidden="1" x14ac:dyDescent="0.25">
      <c r="A274" s="17" t="s">
        <v>24</v>
      </c>
      <c r="B274" s="17" t="s">
        <v>1299</v>
      </c>
      <c r="C274" s="17" t="s">
        <v>1527</v>
      </c>
      <c r="D274" s="17" t="s">
        <v>35</v>
      </c>
      <c r="E274" s="17" t="s">
        <v>26</v>
      </c>
      <c r="F274" s="17" t="s">
        <v>26</v>
      </c>
      <c r="G274" s="17" t="s">
        <v>37</v>
      </c>
      <c r="H274" s="18" t="s">
        <v>28</v>
      </c>
      <c r="I274" s="18" t="s">
        <v>36</v>
      </c>
      <c r="J274" s="18" t="str">
        <f t="shared" si="10"/>
        <v>2019</v>
      </c>
      <c r="K274" s="18"/>
      <c r="L274" s="18"/>
      <c r="M274" s="18"/>
      <c r="N274" s="19"/>
      <c r="O274" s="17" t="s">
        <v>1528</v>
      </c>
      <c r="P274" s="17" t="s">
        <v>1529</v>
      </c>
      <c r="Q274" s="17" t="s">
        <v>1305</v>
      </c>
      <c r="R274" s="17" t="s">
        <v>1306</v>
      </c>
      <c r="S274" s="17" t="s">
        <v>1530</v>
      </c>
      <c r="T274" s="17" t="s">
        <v>43</v>
      </c>
      <c r="U274" s="17">
        <v>3399651</v>
      </c>
      <c r="V274" s="17" t="str">
        <f t="shared" si="11"/>
        <v>09/26/2019</v>
      </c>
      <c r="W274" s="17" t="s">
        <v>44</v>
      </c>
    </row>
    <row r="275" spans="1:24" s="17" customFormat="1" x14ac:dyDescent="0.25">
      <c r="A275" s="17" t="s">
        <v>24</v>
      </c>
      <c r="B275" s="17" t="s">
        <v>1299</v>
      </c>
      <c r="C275" s="17" t="s">
        <v>4</v>
      </c>
      <c r="D275" s="17" t="s">
        <v>35</v>
      </c>
      <c r="E275" s="17" t="s">
        <v>26</v>
      </c>
      <c r="F275" s="17" t="s">
        <v>28</v>
      </c>
      <c r="G275" s="17" t="s">
        <v>1301</v>
      </c>
      <c r="H275" s="18" t="s">
        <v>280</v>
      </c>
      <c r="I275" s="18" t="s">
        <v>36</v>
      </c>
      <c r="J275" s="18" t="str">
        <f t="shared" si="10"/>
        <v>2019</v>
      </c>
      <c r="K275" s="18"/>
      <c r="L275" s="18" t="s">
        <v>37</v>
      </c>
      <c r="M275" s="18" t="s">
        <v>37</v>
      </c>
      <c r="N275" s="19"/>
      <c r="O275" s="17" t="s">
        <v>1531</v>
      </c>
      <c r="P275" s="17" t="s">
        <v>1532</v>
      </c>
      <c r="Q275" s="17" t="s">
        <v>1305</v>
      </c>
      <c r="R275" s="17" t="s">
        <v>1306</v>
      </c>
      <c r="S275" s="17" t="s">
        <v>1533</v>
      </c>
      <c r="T275" s="17" t="s">
        <v>43</v>
      </c>
      <c r="U275" s="17">
        <v>3399652</v>
      </c>
      <c r="V275" s="17" t="str">
        <f t="shared" si="11"/>
        <v>09/26/2019</v>
      </c>
      <c r="W275" s="17" t="s">
        <v>44</v>
      </c>
      <c r="X275" s="17" t="s">
        <v>1534</v>
      </c>
    </row>
    <row r="276" spans="1:24" s="17" customFormat="1" x14ac:dyDescent="0.25">
      <c r="A276" s="17" t="s">
        <v>24</v>
      </c>
      <c r="B276" s="17" t="s">
        <v>1299</v>
      </c>
      <c r="C276" s="17" t="s">
        <v>1535</v>
      </c>
      <c r="D276" s="17" t="s">
        <v>35</v>
      </c>
      <c r="E276" s="17" t="s">
        <v>26</v>
      </c>
      <c r="F276" s="17" t="s">
        <v>28</v>
      </c>
      <c r="G276" s="17" t="s">
        <v>1301</v>
      </c>
      <c r="H276" s="18" t="s">
        <v>280</v>
      </c>
      <c r="I276" s="18" t="s">
        <v>36</v>
      </c>
      <c r="J276" s="18" t="str">
        <f t="shared" si="10"/>
        <v>2019</v>
      </c>
      <c r="K276" s="18"/>
      <c r="L276" s="18" t="s">
        <v>37</v>
      </c>
      <c r="M276" s="18" t="s">
        <v>37</v>
      </c>
      <c r="N276" s="19"/>
      <c r="O276" s="17" t="s">
        <v>1536</v>
      </c>
      <c r="P276" s="17" t="s">
        <v>1537</v>
      </c>
      <c r="Q276" s="17" t="s">
        <v>1305</v>
      </c>
      <c r="R276" s="17" t="s">
        <v>1306</v>
      </c>
      <c r="S276" s="17" t="s">
        <v>1538</v>
      </c>
      <c r="T276" s="17" t="s">
        <v>43</v>
      </c>
      <c r="U276" s="17">
        <v>3399653</v>
      </c>
      <c r="V276" s="17" t="str">
        <f t="shared" si="11"/>
        <v>09/26/2019</v>
      </c>
      <c r="W276" s="17" t="s">
        <v>44</v>
      </c>
    </row>
    <row r="277" spans="1:24" s="17" customFormat="1" x14ac:dyDescent="0.25">
      <c r="A277" s="17" t="s">
        <v>24</v>
      </c>
      <c r="B277" s="17" t="s">
        <v>1299</v>
      </c>
      <c r="C277" s="17" t="s">
        <v>1539</v>
      </c>
      <c r="D277" s="17" t="s">
        <v>35</v>
      </c>
      <c r="E277" s="17" t="s">
        <v>26</v>
      </c>
      <c r="F277" s="17" t="s">
        <v>28</v>
      </c>
      <c r="G277" s="17" t="s">
        <v>1301</v>
      </c>
      <c r="H277" s="18" t="s">
        <v>280</v>
      </c>
      <c r="I277" s="18" t="s">
        <v>36</v>
      </c>
      <c r="J277" s="18" t="str">
        <f t="shared" si="10"/>
        <v>2019</v>
      </c>
      <c r="K277" s="18"/>
      <c r="L277" s="18" t="s">
        <v>37</v>
      </c>
      <c r="M277" s="18" t="s">
        <v>37</v>
      </c>
      <c r="N277" s="19"/>
      <c r="O277" s="17" t="s">
        <v>1540</v>
      </c>
      <c r="P277" s="17" t="s">
        <v>1541</v>
      </c>
      <c r="Q277" s="17" t="s">
        <v>1305</v>
      </c>
      <c r="R277" s="17" t="s">
        <v>1306</v>
      </c>
      <c r="S277" s="17" t="s">
        <v>1542</v>
      </c>
      <c r="T277" s="17" t="s">
        <v>43</v>
      </c>
      <c r="U277" s="17">
        <v>3399654</v>
      </c>
      <c r="V277" s="17" t="str">
        <f t="shared" si="11"/>
        <v>09/26/2019</v>
      </c>
      <c r="W277" s="17" t="s">
        <v>44</v>
      </c>
      <c r="X277" s="17" t="s">
        <v>1543</v>
      </c>
    </row>
    <row r="278" spans="1:24" s="17" customFormat="1" x14ac:dyDescent="0.25">
      <c r="A278" s="17" t="s">
        <v>24</v>
      </c>
      <c r="B278" s="17" t="s">
        <v>1299</v>
      </c>
      <c r="C278" s="17" t="s">
        <v>1544</v>
      </c>
      <c r="D278" s="17" t="s">
        <v>35</v>
      </c>
      <c r="E278" s="17" t="s">
        <v>26</v>
      </c>
      <c r="F278" s="17" t="s">
        <v>28</v>
      </c>
      <c r="G278" s="17" t="s">
        <v>1301</v>
      </c>
      <c r="H278" s="18" t="s">
        <v>280</v>
      </c>
      <c r="I278" s="18" t="s">
        <v>36</v>
      </c>
      <c r="J278" s="18" t="str">
        <f t="shared" si="10"/>
        <v>2019</v>
      </c>
      <c r="K278" s="18"/>
      <c r="L278" s="18" t="s">
        <v>37</v>
      </c>
      <c r="M278" s="18" t="s">
        <v>37</v>
      </c>
      <c r="N278" s="19"/>
      <c r="O278" s="17" t="s">
        <v>1545</v>
      </c>
      <c r="P278" s="17" t="s">
        <v>1546</v>
      </c>
      <c r="Q278" s="17" t="s">
        <v>1305</v>
      </c>
      <c r="R278" s="17" t="s">
        <v>1306</v>
      </c>
      <c r="S278" s="17" t="s">
        <v>1547</v>
      </c>
      <c r="T278" s="17" t="s">
        <v>43</v>
      </c>
      <c r="U278" s="17">
        <v>3399655</v>
      </c>
      <c r="V278" s="17" t="str">
        <f t="shared" si="11"/>
        <v>09/26/2019</v>
      </c>
      <c r="W278" s="17" t="s">
        <v>44</v>
      </c>
      <c r="X278" s="17" t="s">
        <v>1548</v>
      </c>
    </row>
    <row r="279" spans="1:24" s="17" customFormat="1" x14ac:dyDescent="0.25">
      <c r="A279" s="17" t="s">
        <v>24</v>
      </c>
      <c r="B279" t="s">
        <v>1367</v>
      </c>
      <c r="C279" t="s">
        <v>1549</v>
      </c>
      <c r="D279" t="s">
        <v>107</v>
      </c>
      <c r="E279" t="s">
        <v>28</v>
      </c>
      <c r="F279" t="s">
        <v>28</v>
      </c>
      <c r="G279"/>
      <c r="H279"/>
      <c r="I279" s="3" t="s">
        <v>1550</v>
      </c>
      <c r="J279" s="3" t="str">
        <f t="shared" si="10"/>
        <v>2021</v>
      </c>
      <c r="K279" s="3"/>
      <c r="L279" s="3" t="s">
        <v>37</v>
      </c>
      <c r="M279" s="16" t="s">
        <v>1551</v>
      </c>
      <c r="N279" s="3"/>
      <c r="O279" s="2" t="s">
        <v>1552</v>
      </c>
      <c r="P279" t="s">
        <v>1553</v>
      </c>
      <c r="Q279" t="s">
        <v>1374</v>
      </c>
      <c r="R279" t="s">
        <v>1375</v>
      </c>
      <c r="S279" t="s">
        <v>1554</v>
      </c>
      <c r="T279" t="s">
        <v>43</v>
      </c>
      <c r="U279">
        <v>17231839</v>
      </c>
      <c r="V279" t="str">
        <f t="shared" si="11"/>
        <v>07/26/2021</v>
      </c>
      <c r="W279" t="s">
        <v>44</v>
      </c>
      <c r="X279"/>
    </row>
    <row r="280" spans="1:24" s="17" customFormat="1" x14ac:dyDescent="0.25">
      <c r="A280" s="17" t="s">
        <v>24</v>
      </c>
      <c r="B280" t="s">
        <v>1367</v>
      </c>
      <c r="C280" t="s">
        <v>1555</v>
      </c>
      <c r="D280" t="s">
        <v>107</v>
      </c>
      <c r="E280" t="s">
        <v>28</v>
      </c>
      <c r="F280" t="s">
        <v>28</v>
      </c>
      <c r="G280"/>
      <c r="H280"/>
      <c r="I280" s="3" t="s">
        <v>1556</v>
      </c>
      <c r="J280" s="3" t="str">
        <f t="shared" si="10"/>
        <v>2020</v>
      </c>
      <c r="K280" s="3"/>
      <c r="L280" s="3" t="s">
        <v>37</v>
      </c>
      <c r="M280" s="16" t="s">
        <v>1557</v>
      </c>
      <c r="N280" s="3"/>
      <c r="O280" s="2" t="s">
        <v>1558</v>
      </c>
      <c r="P280" t="s">
        <v>1559</v>
      </c>
      <c r="Q280" t="s">
        <v>1374</v>
      </c>
      <c r="R280" t="s">
        <v>1375</v>
      </c>
      <c r="S280" t="s">
        <v>1560</v>
      </c>
      <c r="T280" t="s">
        <v>43</v>
      </c>
      <c r="U280">
        <v>17231771</v>
      </c>
      <c r="V280" t="str">
        <f t="shared" si="11"/>
        <v>03/05/2020</v>
      </c>
      <c r="W280" t="s">
        <v>44</v>
      </c>
      <c r="X280"/>
    </row>
    <row r="281" spans="1:24" s="17" customFormat="1" hidden="1" x14ac:dyDescent="0.25">
      <c r="A281" s="17" t="s">
        <v>24</v>
      </c>
      <c r="B281" s="17" t="s">
        <v>1561</v>
      </c>
      <c r="C281" s="17" t="s">
        <v>1562</v>
      </c>
      <c r="D281" s="17" t="s">
        <v>107</v>
      </c>
      <c r="E281" s="17" t="s">
        <v>26</v>
      </c>
      <c r="F281" s="17" t="s">
        <v>26</v>
      </c>
      <c r="G281" s="17" t="s">
        <v>27</v>
      </c>
      <c r="H281" s="18" t="s">
        <v>28</v>
      </c>
      <c r="I281" s="18" t="s">
        <v>1563</v>
      </c>
      <c r="J281" s="18" t="str">
        <f t="shared" si="10"/>
        <v>2021</v>
      </c>
      <c r="K281" s="18"/>
      <c r="L281" s="18"/>
      <c r="M281" s="18"/>
      <c r="N281" s="19"/>
      <c r="O281" s="17" t="s">
        <v>1564</v>
      </c>
      <c r="P281" s="17" t="s">
        <v>1565</v>
      </c>
      <c r="Q281" s="17" t="s">
        <v>1566</v>
      </c>
      <c r="R281" s="17" t="s">
        <v>1567</v>
      </c>
      <c r="S281" s="17" t="s">
        <v>1568</v>
      </c>
      <c r="T281" s="17" t="s">
        <v>43</v>
      </c>
      <c r="U281" s="17">
        <v>10</v>
      </c>
      <c r="V281" s="17" t="str">
        <f t="shared" si="11"/>
        <v>02/02/2021</v>
      </c>
      <c r="W281" s="17" t="s">
        <v>44</v>
      </c>
    </row>
    <row r="282" spans="1:24" x14ac:dyDescent="0.25">
      <c r="A282" s="17" t="s">
        <v>24</v>
      </c>
      <c r="B282" s="17" t="s">
        <v>1367</v>
      </c>
      <c r="C282" s="17" t="s">
        <v>1569</v>
      </c>
      <c r="D282" s="17" t="s">
        <v>35</v>
      </c>
      <c r="E282" s="17" t="s">
        <v>26</v>
      </c>
      <c r="F282" s="17" t="s">
        <v>28</v>
      </c>
      <c r="G282" s="18"/>
      <c r="H282" s="18"/>
      <c r="I282" s="18" t="s">
        <v>36</v>
      </c>
      <c r="J282" s="18" t="str">
        <f t="shared" si="10"/>
        <v>2019</v>
      </c>
      <c r="K282" s="18"/>
      <c r="L282" s="18" t="s">
        <v>37</v>
      </c>
      <c r="M282" s="19" t="s">
        <v>1352</v>
      </c>
      <c r="N282" s="17"/>
      <c r="O282" s="17" t="s">
        <v>1570</v>
      </c>
      <c r="P282" s="17" t="s">
        <v>1571</v>
      </c>
      <c r="Q282" s="17" t="s">
        <v>1374</v>
      </c>
      <c r="R282" s="17" t="s">
        <v>1375</v>
      </c>
      <c r="S282" s="17" t="s">
        <v>1572</v>
      </c>
      <c r="T282" s="17" t="s">
        <v>43</v>
      </c>
      <c r="U282" s="17">
        <v>17231687</v>
      </c>
      <c r="V282" s="17" t="str">
        <f t="shared" si="11"/>
        <v>09/26/2019</v>
      </c>
      <c r="W282" s="17" t="s">
        <v>44</v>
      </c>
      <c r="X282" s="17"/>
    </row>
    <row r="283" spans="1:24" x14ac:dyDescent="0.25">
      <c r="A283" s="17" t="s">
        <v>24</v>
      </c>
      <c r="B283" t="s">
        <v>1356</v>
      </c>
      <c r="C283" t="s">
        <v>1573</v>
      </c>
      <c r="D283" t="s">
        <v>35</v>
      </c>
      <c r="E283" t="s">
        <v>28</v>
      </c>
      <c r="F283" t="s">
        <v>28</v>
      </c>
      <c r="G283" t="s">
        <v>1301</v>
      </c>
      <c r="H283" s="3" t="s">
        <v>26</v>
      </c>
      <c r="I283" s="3" t="s">
        <v>36</v>
      </c>
      <c r="J283" s="3" t="str">
        <f t="shared" si="10"/>
        <v>2019</v>
      </c>
      <c r="K283" s="3"/>
      <c r="L283" s="3"/>
      <c r="M283" s="3" t="s">
        <v>37</v>
      </c>
      <c r="N283" s="2"/>
      <c r="O283" t="s">
        <v>1574</v>
      </c>
      <c r="P283" t="s">
        <v>1575</v>
      </c>
      <c r="Q283" t="s">
        <v>1363</v>
      </c>
      <c r="R283" t="s">
        <v>1364</v>
      </c>
      <c r="S283" t="s">
        <v>1576</v>
      </c>
      <c r="T283" t="s">
        <v>43</v>
      </c>
      <c r="U283">
        <v>130436</v>
      </c>
      <c r="V283" t="str">
        <f t="shared" si="11"/>
        <v>09/26/2019</v>
      </c>
      <c r="W283" t="s">
        <v>44</v>
      </c>
    </row>
    <row r="284" spans="1:24" s="17" customFormat="1" x14ac:dyDescent="0.25">
      <c r="A284" s="17" t="s">
        <v>24</v>
      </c>
      <c r="B284" s="17" t="s">
        <v>1577</v>
      </c>
      <c r="C284" s="17" t="s">
        <v>1578</v>
      </c>
      <c r="D284" s="17" t="s">
        <v>35</v>
      </c>
      <c r="E284" s="17" t="s">
        <v>26</v>
      </c>
      <c r="F284" s="17" t="s">
        <v>28</v>
      </c>
      <c r="G284" s="17" t="s">
        <v>1301</v>
      </c>
      <c r="H284" s="18" t="s">
        <v>280</v>
      </c>
      <c r="I284" s="18" t="s">
        <v>36</v>
      </c>
      <c r="J284" s="18" t="str">
        <f t="shared" si="10"/>
        <v>2019</v>
      </c>
      <c r="K284" s="18"/>
      <c r="L284" s="18" t="s">
        <v>37</v>
      </c>
      <c r="M284" s="18" t="s">
        <v>37</v>
      </c>
      <c r="N284" s="19"/>
      <c r="O284" s="17" t="s">
        <v>1579</v>
      </c>
      <c r="P284" s="17" t="s">
        <v>1580</v>
      </c>
      <c r="Q284" s="17" t="s">
        <v>1581</v>
      </c>
      <c r="R284" s="17" t="s">
        <v>1582</v>
      </c>
      <c r="S284" s="17" t="s">
        <v>1583</v>
      </c>
      <c r="T284" s="17" t="s">
        <v>43</v>
      </c>
      <c r="U284" s="17">
        <v>210302</v>
      </c>
      <c r="V284" s="17" t="str">
        <f t="shared" si="11"/>
        <v>09/26/2019</v>
      </c>
      <c r="W284" s="17" t="s">
        <v>44</v>
      </c>
    </row>
    <row r="285" spans="1:24" s="17" customFormat="1" x14ac:dyDescent="0.25">
      <c r="A285" s="17" t="s">
        <v>24</v>
      </c>
      <c r="B285" s="17" t="s">
        <v>1577</v>
      </c>
      <c r="C285" s="17" t="s">
        <v>1584</v>
      </c>
      <c r="D285" s="17" t="s">
        <v>35</v>
      </c>
      <c r="E285" s="17" t="s">
        <v>26</v>
      </c>
      <c r="F285" s="17" t="s">
        <v>28</v>
      </c>
      <c r="G285" s="17" t="s">
        <v>1301</v>
      </c>
      <c r="H285" s="18" t="s">
        <v>280</v>
      </c>
      <c r="I285" s="18" t="s">
        <v>36</v>
      </c>
      <c r="J285" s="18" t="str">
        <f t="shared" si="10"/>
        <v>2019</v>
      </c>
      <c r="K285" s="18"/>
      <c r="L285" s="18" t="s">
        <v>37</v>
      </c>
      <c r="M285" s="18" t="s">
        <v>37</v>
      </c>
      <c r="N285" s="19"/>
      <c r="O285" s="17" t="s">
        <v>1585</v>
      </c>
      <c r="P285" s="17" t="s">
        <v>1586</v>
      </c>
      <c r="Q285" s="17" t="s">
        <v>1581</v>
      </c>
      <c r="R285" s="17" t="s">
        <v>1582</v>
      </c>
      <c r="S285" s="17" t="s">
        <v>1587</v>
      </c>
      <c r="T285" s="17" t="s">
        <v>43</v>
      </c>
      <c r="U285" s="17">
        <v>210303</v>
      </c>
      <c r="V285" s="17" t="str">
        <f t="shared" si="11"/>
        <v>09/26/2019</v>
      </c>
      <c r="W285" s="17" t="s">
        <v>44</v>
      </c>
    </row>
    <row r="286" spans="1:24" s="17" customFormat="1" x14ac:dyDescent="0.25">
      <c r="A286" s="17" t="s">
        <v>24</v>
      </c>
      <c r="B286" s="17" t="s">
        <v>1577</v>
      </c>
      <c r="C286" s="17" t="s">
        <v>1588</v>
      </c>
      <c r="D286" s="17" t="s">
        <v>35</v>
      </c>
      <c r="E286" s="17" t="s">
        <v>26</v>
      </c>
      <c r="F286" s="17" t="s">
        <v>28</v>
      </c>
      <c r="G286" s="17" t="s">
        <v>1301</v>
      </c>
      <c r="H286" s="18" t="s">
        <v>280</v>
      </c>
      <c r="I286" s="18" t="s">
        <v>36</v>
      </c>
      <c r="J286" s="18" t="str">
        <f t="shared" si="10"/>
        <v>2019</v>
      </c>
      <c r="K286" s="18"/>
      <c r="L286" s="18" t="s">
        <v>37</v>
      </c>
      <c r="M286" s="18" t="s">
        <v>37</v>
      </c>
      <c r="N286" s="19"/>
      <c r="O286" s="17" t="s">
        <v>1589</v>
      </c>
      <c r="P286" s="17" t="s">
        <v>1590</v>
      </c>
      <c r="Q286" s="17" t="s">
        <v>1581</v>
      </c>
      <c r="R286" s="17" t="s">
        <v>1582</v>
      </c>
      <c r="S286" s="17" t="s">
        <v>1591</v>
      </c>
      <c r="T286" s="17" t="s">
        <v>43</v>
      </c>
      <c r="U286" s="17">
        <v>210304</v>
      </c>
      <c r="V286" s="17" t="str">
        <f t="shared" si="11"/>
        <v>09/26/2019</v>
      </c>
      <c r="W286" s="17" t="s">
        <v>44</v>
      </c>
    </row>
    <row r="287" spans="1:24" s="17" customFormat="1" x14ac:dyDescent="0.25">
      <c r="A287" s="17" t="s">
        <v>24</v>
      </c>
      <c r="B287" s="17" t="s">
        <v>1577</v>
      </c>
      <c r="C287" s="17" t="s">
        <v>1592</v>
      </c>
      <c r="D287" s="17" t="s">
        <v>35</v>
      </c>
      <c r="E287" s="17" t="s">
        <v>26</v>
      </c>
      <c r="F287" s="17" t="s">
        <v>28</v>
      </c>
      <c r="G287" s="17" t="s">
        <v>1301</v>
      </c>
      <c r="H287" s="18" t="s">
        <v>280</v>
      </c>
      <c r="I287" s="18" t="s">
        <v>36</v>
      </c>
      <c r="J287" s="18" t="str">
        <f t="shared" si="10"/>
        <v>2019</v>
      </c>
      <c r="K287" s="18"/>
      <c r="L287" s="18" t="s">
        <v>37</v>
      </c>
      <c r="M287" s="18" t="s">
        <v>37</v>
      </c>
      <c r="N287" s="19"/>
      <c r="O287" s="17" t="s">
        <v>1593</v>
      </c>
      <c r="P287" s="17" t="s">
        <v>1594</v>
      </c>
      <c r="Q287" s="17" t="s">
        <v>1581</v>
      </c>
      <c r="R287" s="17" t="s">
        <v>1582</v>
      </c>
      <c r="S287" s="17" t="s">
        <v>1595</v>
      </c>
      <c r="T287" s="17" t="s">
        <v>43</v>
      </c>
      <c r="U287" s="17">
        <v>210305</v>
      </c>
      <c r="V287" s="17" t="str">
        <f t="shared" si="11"/>
        <v>09/26/2019</v>
      </c>
      <c r="W287" s="17" t="s">
        <v>44</v>
      </c>
    </row>
    <row r="288" spans="1:24" s="17" customFormat="1" x14ac:dyDescent="0.25">
      <c r="A288" s="17" t="s">
        <v>24</v>
      </c>
      <c r="B288" s="17" t="s">
        <v>1577</v>
      </c>
      <c r="C288" s="17" t="s">
        <v>1596</v>
      </c>
      <c r="D288" s="17" t="s">
        <v>35</v>
      </c>
      <c r="E288" s="17" t="s">
        <v>26</v>
      </c>
      <c r="F288" s="17" t="s">
        <v>28</v>
      </c>
      <c r="G288" s="17" t="s">
        <v>1301</v>
      </c>
      <c r="H288" s="18" t="s">
        <v>280</v>
      </c>
      <c r="I288" s="18" t="s">
        <v>36</v>
      </c>
      <c r="J288" s="18" t="str">
        <f t="shared" si="10"/>
        <v>2019</v>
      </c>
      <c r="K288" s="18"/>
      <c r="L288" s="18" t="s">
        <v>37</v>
      </c>
      <c r="M288" s="18" t="s">
        <v>37</v>
      </c>
      <c r="N288" s="19"/>
      <c r="O288" s="17" t="s">
        <v>1597</v>
      </c>
      <c r="P288" s="17" t="s">
        <v>1598</v>
      </c>
      <c r="Q288" s="17" t="s">
        <v>1581</v>
      </c>
      <c r="R288" s="17" t="s">
        <v>1582</v>
      </c>
      <c r="S288" s="17" t="s">
        <v>1599</v>
      </c>
      <c r="T288" s="17" t="s">
        <v>43</v>
      </c>
      <c r="U288" s="17">
        <v>210306</v>
      </c>
      <c r="V288" s="17" t="str">
        <f t="shared" si="11"/>
        <v>09/26/2019</v>
      </c>
      <c r="W288" s="17" t="s">
        <v>44</v>
      </c>
    </row>
    <row r="289" spans="1:24" s="17" customFormat="1" x14ac:dyDescent="0.25">
      <c r="A289" s="17" t="s">
        <v>24</v>
      </c>
      <c r="B289" s="17" t="s">
        <v>1577</v>
      </c>
      <c r="C289" s="17" t="s">
        <v>1600</v>
      </c>
      <c r="D289" s="17" t="s">
        <v>35</v>
      </c>
      <c r="E289" s="17" t="s">
        <v>26</v>
      </c>
      <c r="F289" s="17" t="s">
        <v>28</v>
      </c>
      <c r="G289" s="17" t="s">
        <v>1301</v>
      </c>
      <c r="H289" s="18" t="s">
        <v>280</v>
      </c>
      <c r="I289" s="18" t="s">
        <v>36</v>
      </c>
      <c r="J289" s="18" t="str">
        <f t="shared" si="10"/>
        <v>2019</v>
      </c>
      <c r="K289" s="18"/>
      <c r="L289" s="18" t="s">
        <v>37</v>
      </c>
      <c r="M289" s="18" t="s">
        <v>37</v>
      </c>
      <c r="N289" s="19"/>
      <c r="O289" s="17" t="s">
        <v>1601</v>
      </c>
      <c r="P289" s="17" t="s">
        <v>1602</v>
      </c>
      <c r="Q289" s="17" t="s">
        <v>1581</v>
      </c>
      <c r="R289" s="17" t="s">
        <v>1582</v>
      </c>
      <c r="S289" s="17" t="s">
        <v>1603</v>
      </c>
      <c r="T289" s="17" t="s">
        <v>43</v>
      </c>
      <c r="U289" s="17">
        <v>210307</v>
      </c>
      <c r="V289" s="17" t="str">
        <f t="shared" si="11"/>
        <v>09/26/2019</v>
      </c>
      <c r="W289" s="17" t="s">
        <v>44</v>
      </c>
    </row>
    <row r="290" spans="1:24" s="17" customFormat="1" x14ac:dyDescent="0.25">
      <c r="A290" s="17" t="s">
        <v>24</v>
      </c>
      <c r="B290" s="17" t="s">
        <v>1577</v>
      </c>
      <c r="C290" s="17" t="s">
        <v>1604</v>
      </c>
      <c r="D290" s="17" t="s">
        <v>35</v>
      </c>
      <c r="E290" s="17" t="s">
        <v>26</v>
      </c>
      <c r="F290" s="17" t="s">
        <v>28</v>
      </c>
      <c r="G290" s="17" t="s">
        <v>1301</v>
      </c>
      <c r="H290" s="18" t="s">
        <v>280</v>
      </c>
      <c r="I290" s="18" t="s">
        <v>36</v>
      </c>
      <c r="J290" s="18" t="str">
        <f t="shared" si="10"/>
        <v>2019</v>
      </c>
      <c r="K290" s="18"/>
      <c r="L290" s="18" t="s">
        <v>37</v>
      </c>
      <c r="M290" s="18" t="s">
        <v>37</v>
      </c>
      <c r="N290" s="19"/>
      <c r="O290" s="17" t="s">
        <v>1605</v>
      </c>
      <c r="P290" s="17" t="s">
        <v>1606</v>
      </c>
      <c r="Q290" s="17" t="s">
        <v>1581</v>
      </c>
      <c r="R290" s="17" t="s">
        <v>1582</v>
      </c>
      <c r="S290" s="17" t="s">
        <v>1607</v>
      </c>
      <c r="T290" s="17" t="s">
        <v>43</v>
      </c>
      <c r="U290" s="17">
        <v>210308</v>
      </c>
      <c r="V290" s="17" t="str">
        <f t="shared" si="11"/>
        <v>09/26/2019</v>
      </c>
      <c r="W290" s="17" t="s">
        <v>44</v>
      </c>
    </row>
    <row r="291" spans="1:24" s="17" customFormat="1" x14ac:dyDescent="0.25">
      <c r="A291" s="17" t="s">
        <v>24</v>
      </c>
      <c r="B291" s="17" t="s">
        <v>1577</v>
      </c>
      <c r="C291" s="17" t="s">
        <v>1608</v>
      </c>
      <c r="D291" s="17" t="s">
        <v>35</v>
      </c>
      <c r="E291" s="17" t="s">
        <v>26</v>
      </c>
      <c r="F291" s="17" t="s">
        <v>28</v>
      </c>
      <c r="G291" s="17" t="s">
        <v>1301</v>
      </c>
      <c r="H291" s="18" t="s">
        <v>280</v>
      </c>
      <c r="I291" s="18" t="s">
        <v>36</v>
      </c>
      <c r="J291" s="18" t="str">
        <f t="shared" si="10"/>
        <v>2019</v>
      </c>
      <c r="K291" s="18"/>
      <c r="L291" s="18" t="s">
        <v>37</v>
      </c>
      <c r="M291" s="18" t="s">
        <v>37</v>
      </c>
      <c r="N291" s="19"/>
      <c r="O291" s="17" t="s">
        <v>1609</v>
      </c>
      <c r="P291" s="17" t="s">
        <v>1610</v>
      </c>
      <c r="Q291" s="17" t="s">
        <v>1581</v>
      </c>
      <c r="R291" s="17" t="s">
        <v>1582</v>
      </c>
      <c r="S291" s="17" t="s">
        <v>1611</v>
      </c>
      <c r="T291" s="17" t="s">
        <v>43</v>
      </c>
      <c r="U291" s="17">
        <v>210309</v>
      </c>
      <c r="V291" s="17" t="str">
        <f t="shared" si="11"/>
        <v>09/26/2019</v>
      </c>
      <c r="W291" s="17" t="s">
        <v>44</v>
      </c>
    </row>
    <row r="292" spans="1:24" s="17" customFormat="1" x14ac:dyDescent="0.25">
      <c r="A292" s="17" t="s">
        <v>24</v>
      </c>
      <c r="B292" s="17" t="s">
        <v>1577</v>
      </c>
      <c r="C292" s="17" t="s">
        <v>1612</v>
      </c>
      <c r="D292" s="17" t="s">
        <v>35</v>
      </c>
      <c r="E292" s="17" t="s">
        <v>26</v>
      </c>
      <c r="F292" s="17" t="s">
        <v>28</v>
      </c>
      <c r="G292" s="17" t="s">
        <v>1301</v>
      </c>
      <c r="H292" s="18" t="s">
        <v>280</v>
      </c>
      <c r="I292" s="18" t="s">
        <v>36</v>
      </c>
      <c r="J292" s="18" t="str">
        <f t="shared" si="10"/>
        <v>2019</v>
      </c>
      <c r="K292" s="18"/>
      <c r="L292" s="18" t="s">
        <v>37</v>
      </c>
      <c r="M292" s="18" t="s">
        <v>37</v>
      </c>
      <c r="N292" s="19"/>
      <c r="O292" s="17" t="s">
        <v>1613</v>
      </c>
      <c r="P292" s="17" t="s">
        <v>1614</v>
      </c>
      <c r="Q292" s="17" t="s">
        <v>1581</v>
      </c>
      <c r="R292" s="17" t="s">
        <v>1582</v>
      </c>
      <c r="S292" s="17" t="s">
        <v>1615</v>
      </c>
      <c r="T292" s="17" t="s">
        <v>43</v>
      </c>
      <c r="U292" s="17">
        <v>210310</v>
      </c>
      <c r="V292" s="17" t="str">
        <f t="shared" si="11"/>
        <v>09/26/2019</v>
      </c>
      <c r="W292" s="17" t="s">
        <v>44</v>
      </c>
    </row>
    <row r="293" spans="1:24" s="17" customFormat="1" x14ac:dyDescent="0.25">
      <c r="A293" s="17" t="s">
        <v>24</v>
      </c>
      <c r="B293" s="17" t="s">
        <v>1577</v>
      </c>
      <c r="C293" s="17" t="s">
        <v>1616</v>
      </c>
      <c r="D293" s="17" t="s">
        <v>35</v>
      </c>
      <c r="E293" s="17" t="s">
        <v>26</v>
      </c>
      <c r="F293" s="17" t="s">
        <v>28</v>
      </c>
      <c r="G293" s="17" t="s">
        <v>1301</v>
      </c>
      <c r="H293" s="18" t="s">
        <v>280</v>
      </c>
      <c r="I293" s="18" t="s">
        <v>36</v>
      </c>
      <c r="J293" s="18" t="str">
        <f t="shared" si="10"/>
        <v>2019</v>
      </c>
      <c r="K293" s="18"/>
      <c r="L293" s="18" t="s">
        <v>37</v>
      </c>
      <c r="M293" s="18" t="s">
        <v>37</v>
      </c>
      <c r="N293" s="19"/>
      <c r="O293" s="17" t="s">
        <v>1617</v>
      </c>
      <c r="P293" s="17" t="s">
        <v>1618</v>
      </c>
      <c r="Q293" s="17" t="s">
        <v>1581</v>
      </c>
      <c r="R293" s="17" t="s">
        <v>1582</v>
      </c>
      <c r="S293" s="17" t="s">
        <v>1619</v>
      </c>
      <c r="T293" s="17" t="s">
        <v>43</v>
      </c>
      <c r="U293" s="17">
        <v>210311</v>
      </c>
      <c r="V293" s="17" t="str">
        <f t="shared" si="11"/>
        <v>09/26/2019</v>
      </c>
      <c r="W293" s="17" t="s">
        <v>44</v>
      </c>
    </row>
    <row r="294" spans="1:24" s="17" customFormat="1" x14ac:dyDescent="0.25">
      <c r="A294" s="17" t="s">
        <v>24</v>
      </c>
      <c r="B294" s="17" t="s">
        <v>1577</v>
      </c>
      <c r="C294" s="17" t="s">
        <v>1620</v>
      </c>
      <c r="D294" s="17" t="s">
        <v>35</v>
      </c>
      <c r="E294" s="17" t="s">
        <v>26</v>
      </c>
      <c r="F294" s="17" t="s">
        <v>28</v>
      </c>
      <c r="G294" s="17" t="s">
        <v>1301</v>
      </c>
      <c r="H294" s="18" t="s">
        <v>280</v>
      </c>
      <c r="I294" s="18" t="s">
        <v>36</v>
      </c>
      <c r="J294" s="18" t="str">
        <f t="shared" si="10"/>
        <v>2019</v>
      </c>
      <c r="K294" s="18"/>
      <c r="L294" s="18" t="s">
        <v>37</v>
      </c>
      <c r="M294" s="18" t="s">
        <v>37</v>
      </c>
      <c r="N294" s="19"/>
      <c r="O294" s="17" t="s">
        <v>1621</v>
      </c>
      <c r="P294" s="17" t="s">
        <v>1622</v>
      </c>
      <c r="Q294" s="17" t="s">
        <v>1581</v>
      </c>
      <c r="R294" s="17" t="s">
        <v>1582</v>
      </c>
      <c r="S294" s="17" t="s">
        <v>1623</v>
      </c>
      <c r="T294" s="17" t="s">
        <v>43</v>
      </c>
      <c r="U294" s="17">
        <v>210312</v>
      </c>
      <c r="V294" s="17" t="str">
        <f t="shared" si="11"/>
        <v>09/26/2019</v>
      </c>
      <c r="W294" s="17" t="s">
        <v>44</v>
      </c>
    </row>
    <row r="295" spans="1:24" s="17" customFormat="1" x14ac:dyDescent="0.25">
      <c r="A295" s="17" t="s">
        <v>24</v>
      </c>
      <c r="B295" s="17" t="s">
        <v>1577</v>
      </c>
      <c r="C295" s="17" t="s">
        <v>1624</v>
      </c>
      <c r="D295" s="17" t="s">
        <v>35</v>
      </c>
      <c r="E295" s="17" t="s">
        <v>26</v>
      </c>
      <c r="F295" s="17" t="s">
        <v>28</v>
      </c>
      <c r="G295" s="17" t="s">
        <v>1301</v>
      </c>
      <c r="H295" s="18" t="s">
        <v>280</v>
      </c>
      <c r="I295" s="18" t="s">
        <v>36</v>
      </c>
      <c r="J295" s="18" t="str">
        <f t="shared" si="10"/>
        <v>2019</v>
      </c>
      <c r="K295" s="18"/>
      <c r="L295" s="18" t="s">
        <v>37</v>
      </c>
      <c r="M295" s="18" t="s">
        <v>37</v>
      </c>
      <c r="N295" s="19"/>
      <c r="O295" s="17" t="s">
        <v>1625</v>
      </c>
      <c r="P295" s="17" t="s">
        <v>1626</v>
      </c>
      <c r="Q295" s="17" t="s">
        <v>1581</v>
      </c>
      <c r="R295" s="17" t="s">
        <v>1582</v>
      </c>
      <c r="S295" s="17" t="s">
        <v>1627</v>
      </c>
      <c r="T295" s="17" t="s">
        <v>43</v>
      </c>
      <c r="U295" s="17">
        <v>210313</v>
      </c>
      <c r="V295" s="17" t="str">
        <f t="shared" si="11"/>
        <v>09/26/2019</v>
      </c>
      <c r="W295" s="17" t="s">
        <v>44</v>
      </c>
    </row>
    <row r="296" spans="1:24" s="17" customFormat="1" x14ac:dyDescent="0.25">
      <c r="A296" s="17" t="s">
        <v>24</v>
      </c>
      <c r="B296" s="17" t="s">
        <v>1577</v>
      </c>
      <c r="C296" s="17" t="s">
        <v>1628</v>
      </c>
      <c r="D296" s="17" t="s">
        <v>35</v>
      </c>
      <c r="E296" s="17" t="s">
        <v>26</v>
      </c>
      <c r="F296" s="17" t="s">
        <v>28</v>
      </c>
      <c r="G296" s="17" t="s">
        <v>1301</v>
      </c>
      <c r="H296" s="18" t="s">
        <v>280</v>
      </c>
      <c r="I296" s="18" t="s">
        <v>36</v>
      </c>
      <c r="J296" s="18" t="str">
        <f t="shared" si="10"/>
        <v>2019</v>
      </c>
      <c r="K296" s="18"/>
      <c r="L296" s="18" t="s">
        <v>37</v>
      </c>
      <c r="M296" s="18" t="s">
        <v>37</v>
      </c>
      <c r="N296" s="19"/>
      <c r="O296" s="17" t="s">
        <v>1629</v>
      </c>
      <c r="P296" s="17" t="s">
        <v>1630</v>
      </c>
      <c r="Q296" s="17" t="s">
        <v>1581</v>
      </c>
      <c r="R296" s="17" t="s">
        <v>1582</v>
      </c>
      <c r="S296" s="17" t="s">
        <v>1631</v>
      </c>
      <c r="T296" s="17" t="s">
        <v>43</v>
      </c>
      <c r="U296" s="17">
        <v>210314</v>
      </c>
      <c r="V296" s="17" t="str">
        <f t="shared" si="11"/>
        <v>09/26/2019</v>
      </c>
      <c r="W296" s="17" t="s">
        <v>44</v>
      </c>
    </row>
    <row r="297" spans="1:24" s="17" customFormat="1" x14ac:dyDescent="0.25">
      <c r="A297" s="17" t="s">
        <v>24</v>
      </c>
      <c r="B297" s="17" t="s">
        <v>1577</v>
      </c>
      <c r="C297" s="17" t="s">
        <v>1632</v>
      </c>
      <c r="D297" s="17" t="s">
        <v>35</v>
      </c>
      <c r="E297" s="17" t="s">
        <v>26</v>
      </c>
      <c r="F297" s="17" t="s">
        <v>28</v>
      </c>
      <c r="G297" s="17" t="s">
        <v>1301</v>
      </c>
      <c r="H297" s="18" t="s">
        <v>280</v>
      </c>
      <c r="I297" s="18" t="s">
        <v>36</v>
      </c>
      <c r="J297" s="18" t="str">
        <f t="shared" si="10"/>
        <v>2019</v>
      </c>
      <c r="K297" s="18"/>
      <c r="L297" s="18" t="s">
        <v>37</v>
      </c>
      <c r="M297" s="18" t="s">
        <v>37</v>
      </c>
      <c r="N297" s="19"/>
      <c r="O297" s="17" t="s">
        <v>1633</v>
      </c>
      <c r="P297" s="17" t="s">
        <v>1634</v>
      </c>
      <c r="Q297" s="17" t="s">
        <v>1581</v>
      </c>
      <c r="R297" s="17" t="s">
        <v>1582</v>
      </c>
      <c r="S297" s="17" t="s">
        <v>1635</v>
      </c>
      <c r="T297" s="17" t="s">
        <v>43</v>
      </c>
      <c r="U297" s="17">
        <v>210315</v>
      </c>
      <c r="V297" s="17" t="str">
        <f t="shared" si="11"/>
        <v>09/26/2019</v>
      </c>
      <c r="W297" s="17" t="s">
        <v>44</v>
      </c>
    </row>
    <row r="298" spans="1:24" s="17" customFormat="1" x14ac:dyDescent="0.25">
      <c r="A298" s="17" t="s">
        <v>24</v>
      </c>
      <c r="B298" s="17" t="s">
        <v>1577</v>
      </c>
      <c r="C298" s="17" t="s">
        <v>1636</v>
      </c>
      <c r="D298" s="17" t="s">
        <v>35</v>
      </c>
      <c r="E298" s="17" t="s">
        <v>26</v>
      </c>
      <c r="F298" s="17" t="s">
        <v>28</v>
      </c>
      <c r="G298" s="17" t="s">
        <v>1301</v>
      </c>
      <c r="H298" s="18" t="s">
        <v>280</v>
      </c>
      <c r="I298" s="18" t="s">
        <v>36</v>
      </c>
      <c r="J298" s="18" t="str">
        <f t="shared" si="10"/>
        <v>2019</v>
      </c>
      <c r="K298" s="18"/>
      <c r="L298" s="18" t="s">
        <v>37</v>
      </c>
      <c r="M298" s="18" t="s">
        <v>37</v>
      </c>
      <c r="N298" s="19"/>
      <c r="O298" s="17" t="s">
        <v>1637</v>
      </c>
      <c r="P298" s="17" t="s">
        <v>1638</v>
      </c>
      <c r="Q298" s="17" t="s">
        <v>1581</v>
      </c>
      <c r="R298" s="17" t="s">
        <v>1582</v>
      </c>
      <c r="S298" s="17" t="s">
        <v>1639</v>
      </c>
      <c r="T298" s="17" t="s">
        <v>43</v>
      </c>
      <c r="U298" s="17">
        <v>210316</v>
      </c>
      <c r="V298" s="17" t="str">
        <f t="shared" si="11"/>
        <v>09/26/2019</v>
      </c>
      <c r="W298" s="17" t="s">
        <v>44</v>
      </c>
    </row>
    <row r="299" spans="1:24" s="17" customFormat="1" x14ac:dyDescent="0.25">
      <c r="A299" s="17" t="s">
        <v>24</v>
      </c>
      <c r="B299" s="17" t="s">
        <v>1577</v>
      </c>
      <c r="C299" s="17" t="s">
        <v>1640</v>
      </c>
      <c r="D299" s="17" t="s">
        <v>35</v>
      </c>
      <c r="E299" s="17" t="s">
        <v>26</v>
      </c>
      <c r="F299" s="17" t="s">
        <v>28</v>
      </c>
      <c r="G299" s="17" t="s">
        <v>1301</v>
      </c>
      <c r="H299" s="18" t="s">
        <v>280</v>
      </c>
      <c r="I299" s="18" t="s">
        <v>36</v>
      </c>
      <c r="J299" s="18" t="str">
        <f t="shared" si="10"/>
        <v>2019</v>
      </c>
      <c r="K299" s="18"/>
      <c r="L299" s="18" t="s">
        <v>37</v>
      </c>
      <c r="M299" s="18" t="s">
        <v>37</v>
      </c>
      <c r="N299" s="19"/>
      <c r="O299" s="17" t="s">
        <v>1641</v>
      </c>
      <c r="P299" s="17" t="s">
        <v>1642</v>
      </c>
      <c r="Q299" s="17" t="s">
        <v>1581</v>
      </c>
      <c r="R299" s="17" t="s">
        <v>1582</v>
      </c>
      <c r="S299" s="17" t="s">
        <v>1643</v>
      </c>
      <c r="T299" s="17" t="s">
        <v>43</v>
      </c>
      <c r="U299" s="17">
        <v>210317</v>
      </c>
      <c r="V299" s="17" t="str">
        <f t="shared" si="11"/>
        <v>09/26/2019</v>
      </c>
      <c r="W299" s="17" t="s">
        <v>44</v>
      </c>
    </row>
    <row r="300" spans="1:24" s="17" customFormat="1" x14ac:dyDescent="0.25">
      <c r="A300" s="17" t="s">
        <v>24</v>
      </c>
      <c r="B300" s="17" t="s">
        <v>1577</v>
      </c>
      <c r="C300" s="17" t="s">
        <v>1644</v>
      </c>
      <c r="D300" s="17" t="s">
        <v>35</v>
      </c>
      <c r="E300" s="17" t="s">
        <v>26</v>
      </c>
      <c r="F300" s="17" t="s">
        <v>28</v>
      </c>
      <c r="G300" s="17" t="s">
        <v>1301</v>
      </c>
      <c r="H300" s="18" t="s">
        <v>280</v>
      </c>
      <c r="I300" s="18" t="s">
        <v>36</v>
      </c>
      <c r="J300" s="18" t="str">
        <f t="shared" si="10"/>
        <v>2019</v>
      </c>
      <c r="K300" s="18"/>
      <c r="L300" s="18" t="s">
        <v>37</v>
      </c>
      <c r="M300" s="18" t="s">
        <v>37</v>
      </c>
      <c r="N300" s="19"/>
      <c r="O300" s="17" t="s">
        <v>1645</v>
      </c>
      <c r="P300" s="17" t="s">
        <v>1646</v>
      </c>
      <c r="Q300" s="17" t="s">
        <v>1581</v>
      </c>
      <c r="R300" s="17" t="s">
        <v>1582</v>
      </c>
      <c r="S300" s="17" t="s">
        <v>1647</v>
      </c>
      <c r="T300" s="17" t="s">
        <v>43</v>
      </c>
      <c r="U300" s="17">
        <v>210318</v>
      </c>
      <c r="V300" s="17" t="str">
        <f t="shared" si="11"/>
        <v>09/26/2019</v>
      </c>
      <c r="W300" s="17" t="s">
        <v>44</v>
      </c>
    </row>
    <row r="301" spans="1:24" s="17" customFormat="1" x14ac:dyDescent="0.25">
      <c r="A301" s="17" t="s">
        <v>24</v>
      </c>
      <c r="B301" s="17" t="s">
        <v>1577</v>
      </c>
      <c r="C301" s="17" t="s">
        <v>1648</v>
      </c>
      <c r="D301" s="17" t="s">
        <v>35</v>
      </c>
      <c r="E301" s="17" t="s">
        <v>26</v>
      </c>
      <c r="F301" s="17" t="s">
        <v>28</v>
      </c>
      <c r="G301" s="17" t="s">
        <v>1301</v>
      </c>
      <c r="H301" s="18" t="s">
        <v>280</v>
      </c>
      <c r="I301" s="18" t="s">
        <v>36</v>
      </c>
      <c r="J301" s="18" t="str">
        <f t="shared" si="10"/>
        <v>2019</v>
      </c>
      <c r="K301" s="18"/>
      <c r="L301" s="18" t="s">
        <v>37</v>
      </c>
      <c r="M301" s="18" t="s">
        <v>37</v>
      </c>
      <c r="N301" s="19"/>
      <c r="O301" s="17" t="s">
        <v>1649</v>
      </c>
      <c r="P301" s="17" t="s">
        <v>1650</v>
      </c>
      <c r="Q301" s="17" t="s">
        <v>1581</v>
      </c>
      <c r="R301" s="17" t="s">
        <v>1582</v>
      </c>
      <c r="S301" s="17" t="s">
        <v>1651</v>
      </c>
      <c r="T301" s="17" t="s">
        <v>43</v>
      </c>
      <c r="U301" s="17">
        <v>210319</v>
      </c>
      <c r="V301" s="17" t="str">
        <f t="shared" si="11"/>
        <v>09/26/2019</v>
      </c>
      <c r="W301" s="17" t="s">
        <v>44</v>
      </c>
    </row>
    <row r="302" spans="1:24" s="17" customFormat="1" x14ac:dyDescent="0.25">
      <c r="A302" s="17" t="s">
        <v>24</v>
      </c>
      <c r="B302" s="17" t="s">
        <v>1577</v>
      </c>
      <c r="C302" s="17" t="s">
        <v>1652</v>
      </c>
      <c r="D302" s="17" t="s">
        <v>35</v>
      </c>
      <c r="E302" s="17" t="s">
        <v>26</v>
      </c>
      <c r="F302" s="17" t="s">
        <v>28</v>
      </c>
      <c r="G302" s="17" t="s">
        <v>1301</v>
      </c>
      <c r="H302" s="18" t="s">
        <v>280</v>
      </c>
      <c r="I302" s="18" t="s">
        <v>36</v>
      </c>
      <c r="J302" s="18" t="str">
        <f t="shared" si="10"/>
        <v>2019</v>
      </c>
      <c r="K302" s="18"/>
      <c r="L302" s="18" t="s">
        <v>37</v>
      </c>
      <c r="M302" s="18" t="s">
        <v>37</v>
      </c>
      <c r="N302" s="19"/>
      <c r="O302" s="17" t="s">
        <v>1653</v>
      </c>
      <c r="P302" s="17" t="s">
        <v>1654</v>
      </c>
      <c r="Q302" s="17" t="s">
        <v>1581</v>
      </c>
      <c r="R302" s="17" t="s">
        <v>1582</v>
      </c>
      <c r="S302" s="17" t="s">
        <v>1655</v>
      </c>
      <c r="T302" s="17" t="s">
        <v>43</v>
      </c>
      <c r="U302" s="17">
        <v>210320</v>
      </c>
      <c r="V302" s="17" t="str">
        <f t="shared" si="11"/>
        <v>09/26/2019</v>
      </c>
      <c r="W302" s="17" t="s">
        <v>44</v>
      </c>
    </row>
    <row r="303" spans="1:24" s="17" customFormat="1" x14ac:dyDescent="0.25">
      <c r="A303" s="17" t="s">
        <v>24</v>
      </c>
      <c r="B303" s="17" t="s">
        <v>1656</v>
      </c>
      <c r="C303" s="17" t="s">
        <v>1657</v>
      </c>
      <c r="D303" s="17" t="s">
        <v>35</v>
      </c>
      <c r="E303" s="17" t="s">
        <v>26</v>
      </c>
      <c r="F303" s="17" t="s">
        <v>28</v>
      </c>
      <c r="G303" s="17" t="s">
        <v>37</v>
      </c>
      <c r="H303" s="18" t="s">
        <v>280</v>
      </c>
      <c r="I303" s="18" t="s">
        <v>36</v>
      </c>
      <c r="J303" s="18" t="str">
        <f t="shared" si="10"/>
        <v>2019</v>
      </c>
      <c r="K303" s="18"/>
      <c r="L303" s="18" t="s">
        <v>37</v>
      </c>
      <c r="M303" s="18" t="s">
        <v>37</v>
      </c>
      <c r="N303" s="19"/>
      <c r="O303" s="17" t="s">
        <v>1658</v>
      </c>
      <c r="P303" s="17" t="s">
        <v>1659</v>
      </c>
      <c r="Q303" s="17" t="s">
        <v>1660</v>
      </c>
      <c r="R303" s="17" t="s">
        <v>1661</v>
      </c>
      <c r="S303" s="17" t="s">
        <v>1662</v>
      </c>
      <c r="T303" s="17" t="s">
        <v>43</v>
      </c>
      <c r="U303" s="17">
        <v>374477</v>
      </c>
      <c r="V303" s="17" t="str">
        <f t="shared" si="11"/>
        <v>09/26/2019</v>
      </c>
      <c r="W303" s="17" t="s">
        <v>44</v>
      </c>
      <c r="X303" s="17" t="s">
        <v>1663</v>
      </c>
    </row>
    <row r="304" spans="1:24" s="17" customFormat="1" x14ac:dyDescent="0.25">
      <c r="A304" s="17" t="s">
        <v>24</v>
      </c>
      <c r="B304" s="17" t="s">
        <v>1656</v>
      </c>
      <c r="C304" s="17" t="s">
        <v>1664</v>
      </c>
      <c r="D304" s="17" t="s">
        <v>35</v>
      </c>
      <c r="E304" s="17" t="s">
        <v>26</v>
      </c>
      <c r="F304" s="17" t="s">
        <v>28</v>
      </c>
      <c r="G304" s="17" t="s">
        <v>37</v>
      </c>
      <c r="H304" s="18" t="s">
        <v>280</v>
      </c>
      <c r="I304" s="18" t="s">
        <v>36</v>
      </c>
      <c r="J304" s="18" t="str">
        <f t="shared" si="10"/>
        <v>2019</v>
      </c>
      <c r="K304" s="18"/>
      <c r="L304" s="18" t="s">
        <v>37</v>
      </c>
      <c r="M304" s="18" t="s">
        <v>37</v>
      </c>
      <c r="N304" s="19"/>
      <c r="O304" s="17" t="s">
        <v>1665</v>
      </c>
      <c r="P304" s="17" t="s">
        <v>1666</v>
      </c>
      <c r="Q304" s="17" t="s">
        <v>1660</v>
      </c>
      <c r="R304" s="17" t="s">
        <v>1661</v>
      </c>
      <c r="S304" s="17" t="s">
        <v>1667</v>
      </c>
      <c r="T304" s="17" t="s">
        <v>43</v>
      </c>
      <c r="U304" s="17">
        <v>374478</v>
      </c>
      <c r="V304" s="17" t="str">
        <f t="shared" si="11"/>
        <v>09/26/2019</v>
      </c>
      <c r="W304" s="17" t="s">
        <v>44</v>
      </c>
    </row>
    <row r="305" spans="1:23" s="17" customFormat="1" x14ac:dyDescent="0.25">
      <c r="A305" s="17" t="s">
        <v>24</v>
      </c>
      <c r="B305" s="17" t="s">
        <v>1577</v>
      </c>
      <c r="C305" s="17" t="s">
        <v>1668</v>
      </c>
      <c r="D305" s="17" t="s">
        <v>35</v>
      </c>
      <c r="E305" s="17" t="s">
        <v>26</v>
      </c>
      <c r="F305" s="17" t="s">
        <v>28</v>
      </c>
      <c r="G305" s="17" t="s">
        <v>1301</v>
      </c>
      <c r="H305" s="18" t="s">
        <v>280</v>
      </c>
      <c r="I305" s="18" t="s">
        <v>36</v>
      </c>
      <c r="J305" s="18" t="str">
        <f t="shared" si="10"/>
        <v>2019</v>
      </c>
      <c r="K305" s="18"/>
      <c r="L305" s="18" t="s">
        <v>37</v>
      </c>
      <c r="M305" s="18" t="s">
        <v>37</v>
      </c>
      <c r="N305" s="19"/>
      <c r="O305" s="17" t="s">
        <v>1669</v>
      </c>
      <c r="P305" s="17" t="s">
        <v>1670</v>
      </c>
      <c r="Q305" s="17" t="s">
        <v>1581</v>
      </c>
      <c r="R305" s="17" t="s">
        <v>1582</v>
      </c>
      <c r="S305" s="17" t="s">
        <v>1671</v>
      </c>
      <c r="T305" s="17" t="s">
        <v>43</v>
      </c>
      <c r="U305" s="17">
        <v>210321</v>
      </c>
      <c r="V305" s="17" t="str">
        <f t="shared" si="11"/>
        <v>09/26/2019</v>
      </c>
      <c r="W305" s="17" t="s">
        <v>44</v>
      </c>
    </row>
    <row r="306" spans="1:23" s="17" customFormat="1" x14ac:dyDescent="0.25">
      <c r="A306" s="17" t="s">
        <v>24</v>
      </c>
      <c r="B306" s="17" t="s">
        <v>1577</v>
      </c>
      <c r="C306" s="17" t="s">
        <v>1672</v>
      </c>
      <c r="D306" s="17" t="s">
        <v>35</v>
      </c>
      <c r="E306" s="17" t="s">
        <v>26</v>
      </c>
      <c r="F306" s="17" t="s">
        <v>28</v>
      </c>
      <c r="G306" s="17" t="s">
        <v>1301</v>
      </c>
      <c r="H306" s="18" t="s">
        <v>280</v>
      </c>
      <c r="I306" s="18" t="s">
        <v>36</v>
      </c>
      <c r="J306" s="18" t="str">
        <f t="shared" si="10"/>
        <v>2019</v>
      </c>
      <c r="K306" s="18"/>
      <c r="L306" s="18" t="s">
        <v>37</v>
      </c>
      <c r="M306" s="18" t="s">
        <v>37</v>
      </c>
      <c r="N306" s="19"/>
      <c r="O306" s="17" t="s">
        <v>1673</v>
      </c>
      <c r="P306" s="17" t="s">
        <v>1674</v>
      </c>
      <c r="Q306" s="17" t="s">
        <v>1581</v>
      </c>
      <c r="R306" s="17" t="s">
        <v>1582</v>
      </c>
      <c r="S306" s="17" t="s">
        <v>1675</v>
      </c>
      <c r="T306" s="17" t="s">
        <v>43</v>
      </c>
      <c r="U306" s="17">
        <v>210322</v>
      </c>
      <c r="V306" s="17" t="str">
        <f t="shared" si="11"/>
        <v>09/26/2019</v>
      </c>
      <c r="W306" s="17" t="s">
        <v>44</v>
      </c>
    </row>
    <row r="307" spans="1:23" s="17" customFormat="1" x14ac:dyDescent="0.25">
      <c r="A307" s="17" t="s">
        <v>24</v>
      </c>
      <c r="B307" s="17" t="s">
        <v>1577</v>
      </c>
      <c r="C307" s="17" t="s">
        <v>1676</v>
      </c>
      <c r="D307" s="17" t="s">
        <v>35</v>
      </c>
      <c r="E307" s="17" t="s">
        <v>26</v>
      </c>
      <c r="F307" s="17" t="s">
        <v>28</v>
      </c>
      <c r="G307" s="17" t="s">
        <v>1301</v>
      </c>
      <c r="H307" s="18" t="s">
        <v>280</v>
      </c>
      <c r="I307" s="18" t="s">
        <v>36</v>
      </c>
      <c r="J307" s="18" t="str">
        <f t="shared" si="10"/>
        <v>2019</v>
      </c>
      <c r="K307" s="18"/>
      <c r="L307" s="18" t="s">
        <v>37</v>
      </c>
      <c r="M307" s="18" t="s">
        <v>37</v>
      </c>
      <c r="N307" s="19"/>
      <c r="O307" s="17" t="s">
        <v>1677</v>
      </c>
      <c r="P307" s="17" t="s">
        <v>1678</v>
      </c>
      <c r="Q307" s="17" t="s">
        <v>1581</v>
      </c>
      <c r="R307" s="17" t="s">
        <v>1582</v>
      </c>
      <c r="S307" s="17" t="s">
        <v>1679</v>
      </c>
      <c r="T307" s="17" t="s">
        <v>43</v>
      </c>
      <c r="U307" s="17">
        <v>210323</v>
      </c>
      <c r="V307" s="17" t="str">
        <f t="shared" si="11"/>
        <v>09/26/2019</v>
      </c>
      <c r="W307" s="17" t="s">
        <v>44</v>
      </c>
    </row>
    <row r="308" spans="1:23" s="17" customFormat="1" x14ac:dyDescent="0.25">
      <c r="A308" s="17" t="s">
        <v>24</v>
      </c>
      <c r="B308" s="17" t="s">
        <v>1577</v>
      </c>
      <c r="C308" s="17" t="s">
        <v>1680</v>
      </c>
      <c r="D308" s="17" t="s">
        <v>35</v>
      </c>
      <c r="E308" s="17" t="s">
        <v>26</v>
      </c>
      <c r="F308" s="17" t="s">
        <v>28</v>
      </c>
      <c r="G308" s="17" t="s">
        <v>1301</v>
      </c>
      <c r="H308" s="18" t="s">
        <v>280</v>
      </c>
      <c r="I308" s="18" t="s">
        <v>36</v>
      </c>
      <c r="J308" s="18" t="str">
        <f t="shared" si="10"/>
        <v>2019</v>
      </c>
      <c r="K308" s="18"/>
      <c r="L308" s="18" t="s">
        <v>37</v>
      </c>
      <c r="M308" s="18" t="s">
        <v>37</v>
      </c>
      <c r="N308" s="19"/>
      <c r="O308" s="17" t="s">
        <v>1681</v>
      </c>
      <c r="P308" s="17" t="s">
        <v>1682</v>
      </c>
      <c r="Q308" s="17" t="s">
        <v>1581</v>
      </c>
      <c r="R308" s="17" t="s">
        <v>1582</v>
      </c>
      <c r="S308" s="17" t="s">
        <v>1683</v>
      </c>
      <c r="T308" s="17" t="s">
        <v>43</v>
      </c>
      <c r="U308" s="17">
        <v>210324</v>
      </c>
      <c r="V308" s="17" t="str">
        <f t="shared" si="11"/>
        <v>09/26/2019</v>
      </c>
      <c r="W308" s="17" t="s">
        <v>44</v>
      </c>
    </row>
    <row r="309" spans="1:23" s="17" customFormat="1" x14ac:dyDescent="0.25">
      <c r="A309" s="17" t="s">
        <v>24</v>
      </c>
      <c r="B309" s="17" t="s">
        <v>1577</v>
      </c>
      <c r="C309" s="17" t="s">
        <v>1684</v>
      </c>
      <c r="D309" s="17" t="s">
        <v>35</v>
      </c>
      <c r="E309" s="17" t="s">
        <v>26</v>
      </c>
      <c r="F309" s="17" t="s">
        <v>28</v>
      </c>
      <c r="G309" s="17" t="s">
        <v>1301</v>
      </c>
      <c r="H309" s="18" t="s">
        <v>280</v>
      </c>
      <c r="I309" s="18" t="s">
        <v>36</v>
      </c>
      <c r="J309" s="18" t="str">
        <f t="shared" si="10"/>
        <v>2019</v>
      </c>
      <c r="K309" s="18"/>
      <c r="L309" s="18" t="s">
        <v>37</v>
      </c>
      <c r="M309" s="18" t="s">
        <v>37</v>
      </c>
      <c r="N309" s="19"/>
      <c r="O309" s="17" t="s">
        <v>1685</v>
      </c>
      <c r="P309" s="17" t="s">
        <v>1686</v>
      </c>
      <c r="Q309" s="17" t="s">
        <v>1581</v>
      </c>
      <c r="R309" s="17" t="s">
        <v>1582</v>
      </c>
      <c r="S309" s="17" t="s">
        <v>1687</v>
      </c>
      <c r="T309" s="17" t="s">
        <v>43</v>
      </c>
      <c r="U309" s="17">
        <v>210325</v>
      </c>
      <c r="V309" s="17" t="str">
        <f t="shared" si="11"/>
        <v>09/26/2019</v>
      </c>
      <c r="W309" s="17" t="s">
        <v>44</v>
      </c>
    </row>
    <row r="310" spans="1:23" s="17" customFormat="1" x14ac:dyDescent="0.25">
      <c r="A310" s="17" t="s">
        <v>24</v>
      </c>
      <c r="B310" s="17" t="s">
        <v>1577</v>
      </c>
      <c r="C310" s="17" t="s">
        <v>1688</v>
      </c>
      <c r="D310" s="17" t="s">
        <v>35</v>
      </c>
      <c r="E310" s="17" t="s">
        <v>26</v>
      </c>
      <c r="F310" s="17" t="s">
        <v>28</v>
      </c>
      <c r="G310" s="17" t="s">
        <v>1301</v>
      </c>
      <c r="H310" s="18" t="s">
        <v>280</v>
      </c>
      <c r="I310" s="18" t="s">
        <v>36</v>
      </c>
      <c r="J310" s="18" t="str">
        <f t="shared" si="10"/>
        <v>2019</v>
      </c>
      <c r="K310" s="18"/>
      <c r="L310" s="18" t="s">
        <v>37</v>
      </c>
      <c r="M310" s="18" t="s">
        <v>37</v>
      </c>
      <c r="N310" s="19"/>
      <c r="O310" s="17" t="s">
        <v>1689</v>
      </c>
      <c r="P310" s="17" t="s">
        <v>1690</v>
      </c>
      <c r="Q310" s="17" t="s">
        <v>1581</v>
      </c>
      <c r="R310" s="17" t="s">
        <v>1582</v>
      </c>
      <c r="S310" s="17" t="s">
        <v>1691</v>
      </c>
      <c r="T310" s="17" t="s">
        <v>43</v>
      </c>
      <c r="U310" s="17">
        <v>210326</v>
      </c>
      <c r="V310" s="17" t="str">
        <f t="shared" si="11"/>
        <v>09/26/2019</v>
      </c>
      <c r="W310" s="17" t="s">
        <v>44</v>
      </c>
    </row>
    <row r="311" spans="1:23" s="17" customFormat="1" x14ac:dyDescent="0.25">
      <c r="A311" s="17" t="s">
        <v>24</v>
      </c>
      <c r="B311" s="17" t="s">
        <v>1577</v>
      </c>
      <c r="C311" s="17" t="s">
        <v>1692</v>
      </c>
      <c r="D311" s="17" t="s">
        <v>35</v>
      </c>
      <c r="E311" s="17" t="s">
        <v>26</v>
      </c>
      <c r="F311" s="17" t="s">
        <v>28</v>
      </c>
      <c r="G311" s="17" t="s">
        <v>1301</v>
      </c>
      <c r="H311" s="18" t="s">
        <v>280</v>
      </c>
      <c r="I311" s="18" t="s">
        <v>36</v>
      </c>
      <c r="J311" s="18" t="str">
        <f t="shared" si="10"/>
        <v>2019</v>
      </c>
      <c r="K311" s="18"/>
      <c r="L311" s="18" t="s">
        <v>37</v>
      </c>
      <c r="M311" s="18" t="s">
        <v>37</v>
      </c>
      <c r="N311" s="19"/>
      <c r="O311" s="17" t="s">
        <v>1693</v>
      </c>
      <c r="P311" s="17" t="s">
        <v>1694</v>
      </c>
      <c r="Q311" s="17" t="s">
        <v>1581</v>
      </c>
      <c r="R311" s="17" t="s">
        <v>1582</v>
      </c>
      <c r="S311" s="17" t="s">
        <v>1695</v>
      </c>
      <c r="T311" s="17" t="s">
        <v>43</v>
      </c>
      <c r="U311" s="17">
        <v>210327</v>
      </c>
      <c r="V311" s="17" t="str">
        <f t="shared" si="11"/>
        <v>09/26/2019</v>
      </c>
      <c r="W311" s="17" t="s">
        <v>44</v>
      </c>
    </row>
    <row r="312" spans="1:23" s="17" customFormat="1" x14ac:dyDescent="0.25">
      <c r="A312" s="17" t="s">
        <v>24</v>
      </c>
      <c r="B312" s="17" t="s">
        <v>1577</v>
      </c>
      <c r="C312" s="17" t="s">
        <v>1696</v>
      </c>
      <c r="D312" s="17" t="s">
        <v>35</v>
      </c>
      <c r="E312" s="17" t="s">
        <v>26</v>
      </c>
      <c r="F312" s="17" t="s">
        <v>28</v>
      </c>
      <c r="G312" s="17" t="s">
        <v>1301</v>
      </c>
      <c r="H312" s="18" t="s">
        <v>280</v>
      </c>
      <c r="I312" s="18" t="s">
        <v>36</v>
      </c>
      <c r="J312" s="18" t="str">
        <f t="shared" si="10"/>
        <v>2019</v>
      </c>
      <c r="K312" s="18"/>
      <c r="L312" s="18" t="s">
        <v>37</v>
      </c>
      <c r="M312" s="18" t="s">
        <v>37</v>
      </c>
      <c r="N312" s="19"/>
      <c r="O312" s="17" t="s">
        <v>1697</v>
      </c>
      <c r="P312" s="17" t="s">
        <v>1698</v>
      </c>
      <c r="Q312" s="17" t="s">
        <v>1581</v>
      </c>
      <c r="R312" s="17" t="s">
        <v>1582</v>
      </c>
      <c r="S312" s="17" t="s">
        <v>1699</v>
      </c>
      <c r="T312" s="17" t="s">
        <v>43</v>
      </c>
      <c r="U312" s="17">
        <v>210328</v>
      </c>
      <c r="V312" s="17" t="str">
        <f t="shared" si="11"/>
        <v>09/26/2019</v>
      </c>
      <c r="W312" s="17" t="s">
        <v>44</v>
      </c>
    </row>
    <row r="313" spans="1:23" s="17" customFormat="1" x14ac:dyDescent="0.25">
      <c r="A313" s="17" t="s">
        <v>24</v>
      </c>
      <c r="B313" s="17" t="s">
        <v>1577</v>
      </c>
      <c r="C313" s="17" t="s">
        <v>1700</v>
      </c>
      <c r="D313" s="17" t="s">
        <v>35</v>
      </c>
      <c r="E313" s="17" t="s">
        <v>26</v>
      </c>
      <c r="F313" s="17" t="s">
        <v>28</v>
      </c>
      <c r="G313" s="17" t="s">
        <v>1301</v>
      </c>
      <c r="H313" s="18" t="s">
        <v>280</v>
      </c>
      <c r="I313" s="18" t="s">
        <v>36</v>
      </c>
      <c r="J313" s="18" t="str">
        <f t="shared" si="10"/>
        <v>2019</v>
      </c>
      <c r="K313" s="18"/>
      <c r="L313" s="18" t="s">
        <v>37</v>
      </c>
      <c r="M313" s="18" t="s">
        <v>37</v>
      </c>
      <c r="N313" s="19"/>
      <c r="O313" s="17" t="s">
        <v>1701</v>
      </c>
      <c r="P313" s="17" t="s">
        <v>1702</v>
      </c>
      <c r="Q313" s="17" t="s">
        <v>1581</v>
      </c>
      <c r="R313" s="17" t="s">
        <v>1582</v>
      </c>
      <c r="S313" s="17" t="s">
        <v>1703</v>
      </c>
      <c r="T313" s="17" t="s">
        <v>43</v>
      </c>
      <c r="U313" s="17">
        <v>210329</v>
      </c>
      <c r="V313" s="17" t="str">
        <f t="shared" si="11"/>
        <v>09/26/2019</v>
      </c>
      <c r="W313" s="17" t="s">
        <v>44</v>
      </c>
    </row>
    <row r="314" spans="1:23" s="17" customFormat="1" x14ac:dyDescent="0.25">
      <c r="A314" s="17" t="s">
        <v>24</v>
      </c>
      <c r="B314" s="17" t="s">
        <v>1577</v>
      </c>
      <c r="C314" s="17" t="s">
        <v>1704</v>
      </c>
      <c r="D314" s="17" t="s">
        <v>35</v>
      </c>
      <c r="E314" s="17" t="s">
        <v>26</v>
      </c>
      <c r="F314" s="17" t="s">
        <v>28</v>
      </c>
      <c r="G314" s="17" t="s">
        <v>1301</v>
      </c>
      <c r="H314" s="18" t="s">
        <v>280</v>
      </c>
      <c r="I314" s="18" t="s">
        <v>36</v>
      </c>
      <c r="J314" s="18" t="str">
        <f t="shared" si="10"/>
        <v>2019</v>
      </c>
      <c r="K314" s="18"/>
      <c r="L314" s="18" t="s">
        <v>37</v>
      </c>
      <c r="M314" s="18" t="s">
        <v>37</v>
      </c>
      <c r="N314" s="19"/>
      <c r="O314" s="17" t="s">
        <v>1705</v>
      </c>
      <c r="P314" s="17" t="s">
        <v>1706</v>
      </c>
      <c r="Q314" s="17" t="s">
        <v>1581</v>
      </c>
      <c r="R314" s="17" t="s">
        <v>1582</v>
      </c>
      <c r="S314" s="17" t="s">
        <v>1707</v>
      </c>
      <c r="T314" s="17" t="s">
        <v>43</v>
      </c>
      <c r="U314" s="17">
        <v>210330</v>
      </c>
      <c r="V314" s="17" t="str">
        <f t="shared" si="11"/>
        <v>09/26/2019</v>
      </c>
      <c r="W314" s="17" t="s">
        <v>44</v>
      </c>
    </row>
    <row r="315" spans="1:23" s="17" customFormat="1" x14ac:dyDescent="0.25">
      <c r="A315" s="17" t="s">
        <v>24</v>
      </c>
      <c r="B315" s="17" t="s">
        <v>1577</v>
      </c>
      <c r="C315" s="17" t="s">
        <v>1708</v>
      </c>
      <c r="D315" s="17" t="s">
        <v>35</v>
      </c>
      <c r="E315" s="17" t="s">
        <v>26</v>
      </c>
      <c r="F315" s="17" t="s">
        <v>28</v>
      </c>
      <c r="G315" s="17" t="s">
        <v>1301</v>
      </c>
      <c r="H315" s="18" t="s">
        <v>280</v>
      </c>
      <c r="I315" s="18" t="s">
        <v>36</v>
      </c>
      <c r="J315" s="18" t="str">
        <f t="shared" si="10"/>
        <v>2019</v>
      </c>
      <c r="K315" s="18"/>
      <c r="L315" s="18" t="s">
        <v>37</v>
      </c>
      <c r="M315" s="18" t="s">
        <v>37</v>
      </c>
      <c r="N315" s="19"/>
      <c r="O315" s="17" t="s">
        <v>1709</v>
      </c>
      <c r="P315" s="17" t="s">
        <v>1710</v>
      </c>
      <c r="Q315" s="17" t="s">
        <v>1581</v>
      </c>
      <c r="R315" s="17" t="s">
        <v>1582</v>
      </c>
      <c r="S315" s="17" t="s">
        <v>1711</v>
      </c>
      <c r="T315" s="17" t="s">
        <v>43</v>
      </c>
      <c r="U315" s="17">
        <v>210331</v>
      </c>
      <c r="V315" s="17" t="str">
        <f t="shared" si="11"/>
        <v>09/26/2019</v>
      </c>
      <c r="W315" s="17" t="s">
        <v>44</v>
      </c>
    </row>
    <row r="316" spans="1:23" s="17" customFormat="1" x14ac:dyDescent="0.25">
      <c r="A316" s="17" t="s">
        <v>24</v>
      </c>
      <c r="B316" s="17" t="s">
        <v>1577</v>
      </c>
      <c r="C316" s="17" t="s">
        <v>1712</v>
      </c>
      <c r="D316" s="17" t="s">
        <v>35</v>
      </c>
      <c r="E316" s="17" t="s">
        <v>26</v>
      </c>
      <c r="F316" s="17" t="s">
        <v>28</v>
      </c>
      <c r="G316" s="17" t="s">
        <v>1301</v>
      </c>
      <c r="H316" s="18" t="s">
        <v>280</v>
      </c>
      <c r="I316" s="18" t="s">
        <v>36</v>
      </c>
      <c r="J316" s="18" t="str">
        <f t="shared" si="10"/>
        <v>2019</v>
      </c>
      <c r="K316" s="18"/>
      <c r="L316" s="18" t="s">
        <v>37</v>
      </c>
      <c r="M316" s="18" t="s">
        <v>37</v>
      </c>
      <c r="N316" s="19"/>
      <c r="O316" s="17" t="s">
        <v>1713</v>
      </c>
      <c r="P316" s="17" t="s">
        <v>1714</v>
      </c>
      <c r="Q316" s="17" t="s">
        <v>1581</v>
      </c>
      <c r="R316" s="17" t="s">
        <v>1582</v>
      </c>
      <c r="S316" s="17" t="s">
        <v>1715</v>
      </c>
      <c r="T316" s="17" t="s">
        <v>43</v>
      </c>
      <c r="U316" s="17">
        <v>210332</v>
      </c>
      <c r="V316" s="17" t="str">
        <f t="shared" si="11"/>
        <v>09/26/2019</v>
      </c>
      <c r="W316" s="17" t="s">
        <v>44</v>
      </c>
    </row>
    <row r="317" spans="1:23" s="17" customFormat="1" x14ac:dyDescent="0.25">
      <c r="A317" s="17" t="s">
        <v>24</v>
      </c>
      <c r="B317" s="17" t="s">
        <v>1577</v>
      </c>
      <c r="C317" s="17" t="s">
        <v>1716</v>
      </c>
      <c r="D317" s="17" t="s">
        <v>35</v>
      </c>
      <c r="E317" s="17" t="s">
        <v>26</v>
      </c>
      <c r="F317" s="17" t="s">
        <v>28</v>
      </c>
      <c r="G317" s="17" t="s">
        <v>1301</v>
      </c>
      <c r="H317" s="18" t="s">
        <v>280</v>
      </c>
      <c r="I317" s="18" t="s">
        <v>36</v>
      </c>
      <c r="J317" s="18" t="str">
        <f t="shared" si="10"/>
        <v>2019</v>
      </c>
      <c r="K317" s="18"/>
      <c r="L317" s="18" t="s">
        <v>37</v>
      </c>
      <c r="M317" s="18" t="s">
        <v>37</v>
      </c>
      <c r="N317" s="19"/>
      <c r="O317" s="17" t="s">
        <v>1717</v>
      </c>
      <c r="P317" s="17" t="s">
        <v>1718</v>
      </c>
      <c r="Q317" s="17" t="s">
        <v>1581</v>
      </c>
      <c r="R317" s="17" t="s">
        <v>1582</v>
      </c>
      <c r="S317" s="17" t="s">
        <v>1719</v>
      </c>
      <c r="T317" s="17" t="s">
        <v>43</v>
      </c>
      <c r="U317" s="17">
        <v>210333</v>
      </c>
      <c r="V317" s="17" t="str">
        <f t="shared" si="11"/>
        <v>09/26/2019</v>
      </c>
      <c r="W317" s="17" t="s">
        <v>44</v>
      </c>
    </row>
    <row r="318" spans="1:23" s="17" customFormat="1" x14ac:dyDescent="0.25">
      <c r="A318" s="17" t="s">
        <v>24</v>
      </c>
      <c r="B318" s="17" t="s">
        <v>1577</v>
      </c>
      <c r="C318" s="17" t="s">
        <v>1720</v>
      </c>
      <c r="D318" s="17" t="s">
        <v>35</v>
      </c>
      <c r="E318" s="17" t="s">
        <v>26</v>
      </c>
      <c r="F318" s="17" t="s">
        <v>28</v>
      </c>
      <c r="G318" s="17" t="s">
        <v>1301</v>
      </c>
      <c r="H318" s="18" t="s">
        <v>280</v>
      </c>
      <c r="I318" s="18" t="s">
        <v>36</v>
      </c>
      <c r="J318" s="18" t="str">
        <f t="shared" si="10"/>
        <v>2019</v>
      </c>
      <c r="K318" s="18"/>
      <c r="L318" s="18" t="s">
        <v>37</v>
      </c>
      <c r="M318" s="18" t="s">
        <v>37</v>
      </c>
      <c r="N318" s="19"/>
      <c r="O318" s="17" t="s">
        <v>1721</v>
      </c>
      <c r="P318" s="17" t="s">
        <v>1722</v>
      </c>
      <c r="Q318" s="17" t="s">
        <v>1581</v>
      </c>
      <c r="R318" s="17" t="s">
        <v>1582</v>
      </c>
      <c r="S318" s="17" t="s">
        <v>1723</v>
      </c>
      <c r="T318" s="17" t="s">
        <v>43</v>
      </c>
      <c r="U318" s="17">
        <v>210334</v>
      </c>
      <c r="V318" s="17" t="str">
        <f t="shared" si="11"/>
        <v>09/26/2019</v>
      </c>
      <c r="W318" s="17" t="s">
        <v>44</v>
      </c>
    </row>
    <row r="319" spans="1:23" s="17" customFormat="1" x14ac:dyDescent="0.25">
      <c r="A319" s="17" t="s">
        <v>24</v>
      </c>
      <c r="B319" s="17" t="s">
        <v>1577</v>
      </c>
      <c r="C319" s="17" t="s">
        <v>1724</v>
      </c>
      <c r="D319" s="17" t="s">
        <v>35</v>
      </c>
      <c r="E319" s="17" t="s">
        <v>26</v>
      </c>
      <c r="F319" s="17" t="s">
        <v>28</v>
      </c>
      <c r="G319" s="17" t="s">
        <v>1301</v>
      </c>
      <c r="H319" s="18" t="s">
        <v>280</v>
      </c>
      <c r="I319" s="18" t="s">
        <v>36</v>
      </c>
      <c r="J319" s="18" t="str">
        <f t="shared" si="10"/>
        <v>2019</v>
      </c>
      <c r="K319" s="18"/>
      <c r="L319" s="18" t="s">
        <v>37</v>
      </c>
      <c r="M319" s="18" t="s">
        <v>37</v>
      </c>
      <c r="N319" s="19"/>
      <c r="O319" s="17" t="s">
        <v>1725</v>
      </c>
      <c r="P319" s="17" t="s">
        <v>1726</v>
      </c>
      <c r="Q319" s="17" t="s">
        <v>1581</v>
      </c>
      <c r="R319" s="17" t="s">
        <v>1582</v>
      </c>
      <c r="S319" s="17" t="s">
        <v>1727</v>
      </c>
      <c r="T319" s="17" t="s">
        <v>43</v>
      </c>
      <c r="U319" s="17">
        <v>210335</v>
      </c>
      <c r="V319" s="17" t="str">
        <f t="shared" si="11"/>
        <v>09/26/2019</v>
      </c>
      <c r="W319" s="17" t="s">
        <v>44</v>
      </c>
    </row>
    <row r="320" spans="1:23" s="17" customFormat="1" x14ac:dyDescent="0.25">
      <c r="A320" s="17" t="s">
        <v>24</v>
      </c>
      <c r="B320" s="17" t="s">
        <v>1577</v>
      </c>
      <c r="C320" s="17" t="s">
        <v>1728</v>
      </c>
      <c r="D320" s="17" t="s">
        <v>35</v>
      </c>
      <c r="E320" s="17" t="s">
        <v>26</v>
      </c>
      <c r="F320" s="17" t="s">
        <v>28</v>
      </c>
      <c r="G320" s="17" t="s">
        <v>1301</v>
      </c>
      <c r="H320" s="18" t="s">
        <v>280</v>
      </c>
      <c r="I320" s="18" t="s">
        <v>36</v>
      </c>
      <c r="J320" s="18" t="str">
        <f t="shared" si="10"/>
        <v>2019</v>
      </c>
      <c r="K320" s="18"/>
      <c r="L320" s="18" t="s">
        <v>37</v>
      </c>
      <c r="M320" s="18" t="s">
        <v>37</v>
      </c>
      <c r="N320" s="19"/>
      <c r="O320" s="17" t="s">
        <v>1729</v>
      </c>
      <c r="P320" s="17" t="s">
        <v>1730</v>
      </c>
      <c r="Q320" s="17" t="s">
        <v>1581</v>
      </c>
      <c r="R320" s="17" t="s">
        <v>1582</v>
      </c>
      <c r="S320" s="17" t="s">
        <v>1731</v>
      </c>
      <c r="T320" s="17" t="s">
        <v>43</v>
      </c>
      <c r="U320" s="17">
        <v>210336</v>
      </c>
      <c r="V320" s="17" t="str">
        <f t="shared" si="11"/>
        <v>09/26/2019</v>
      </c>
      <c r="W320" s="17" t="s">
        <v>44</v>
      </c>
    </row>
    <row r="321" spans="1:24" s="17" customFormat="1" x14ac:dyDescent="0.25">
      <c r="A321" s="17" t="s">
        <v>24</v>
      </c>
      <c r="B321" s="17" t="s">
        <v>1577</v>
      </c>
      <c r="C321" s="17" t="s">
        <v>1732</v>
      </c>
      <c r="D321" s="17" t="s">
        <v>35</v>
      </c>
      <c r="E321" s="17" t="s">
        <v>26</v>
      </c>
      <c r="F321" s="17" t="s">
        <v>28</v>
      </c>
      <c r="G321" s="17" t="s">
        <v>1301</v>
      </c>
      <c r="H321" s="18" t="s">
        <v>280</v>
      </c>
      <c r="I321" s="18" t="s">
        <v>36</v>
      </c>
      <c r="J321" s="18" t="str">
        <f t="shared" si="10"/>
        <v>2019</v>
      </c>
      <c r="K321" s="18"/>
      <c r="L321" s="18" t="s">
        <v>37</v>
      </c>
      <c r="M321" s="18" t="s">
        <v>37</v>
      </c>
      <c r="N321" s="19"/>
      <c r="O321" s="17" t="s">
        <v>1733</v>
      </c>
      <c r="P321" s="17" t="s">
        <v>1734</v>
      </c>
      <c r="Q321" s="17" t="s">
        <v>1581</v>
      </c>
      <c r="R321" s="17" t="s">
        <v>1582</v>
      </c>
      <c r="S321" s="17" t="s">
        <v>1735</v>
      </c>
      <c r="T321" s="17" t="s">
        <v>43</v>
      </c>
      <c r="U321" s="17">
        <v>210337</v>
      </c>
      <c r="V321" s="17" t="str">
        <f t="shared" si="11"/>
        <v>09/26/2019</v>
      </c>
      <c r="W321" s="17" t="s">
        <v>44</v>
      </c>
    </row>
    <row r="322" spans="1:24" s="17" customFormat="1" x14ac:dyDescent="0.25">
      <c r="A322" s="17" t="s">
        <v>24</v>
      </c>
      <c r="B322" s="17" t="s">
        <v>1577</v>
      </c>
      <c r="C322" s="17" t="s">
        <v>1736</v>
      </c>
      <c r="D322" s="17" t="s">
        <v>35</v>
      </c>
      <c r="E322" s="17" t="s">
        <v>26</v>
      </c>
      <c r="F322" s="17" t="s">
        <v>28</v>
      </c>
      <c r="G322" s="17" t="s">
        <v>1301</v>
      </c>
      <c r="H322" s="18" t="s">
        <v>280</v>
      </c>
      <c r="I322" s="18" t="s">
        <v>36</v>
      </c>
      <c r="J322" s="18" t="str">
        <f t="shared" si="10"/>
        <v>2019</v>
      </c>
      <c r="K322" s="18"/>
      <c r="L322" s="18" t="s">
        <v>37</v>
      </c>
      <c r="M322" s="18" t="s">
        <v>37</v>
      </c>
      <c r="N322" s="19"/>
      <c r="O322" s="17" t="s">
        <v>1737</v>
      </c>
      <c r="P322" s="17" t="s">
        <v>1738</v>
      </c>
      <c r="Q322" s="17" t="s">
        <v>1581</v>
      </c>
      <c r="R322" s="17" t="s">
        <v>1582</v>
      </c>
      <c r="S322" s="17" t="s">
        <v>1739</v>
      </c>
      <c r="T322" s="17" t="s">
        <v>43</v>
      </c>
      <c r="U322" s="17">
        <v>210338</v>
      </c>
      <c r="V322" s="17" t="str">
        <f t="shared" si="11"/>
        <v>09/26/2019</v>
      </c>
      <c r="W322" s="17" t="s">
        <v>44</v>
      </c>
    </row>
    <row r="323" spans="1:24" s="17" customFormat="1" x14ac:dyDescent="0.25">
      <c r="A323" s="17" t="s">
        <v>24</v>
      </c>
      <c r="B323" s="17" t="s">
        <v>1577</v>
      </c>
      <c r="C323" s="17" t="s">
        <v>1740</v>
      </c>
      <c r="D323" s="17" t="s">
        <v>35</v>
      </c>
      <c r="E323" s="17" t="s">
        <v>26</v>
      </c>
      <c r="F323" s="17" t="s">
        <v>28</v>
      </c>
      <c r="G323" s="17" t="s">
        <v>1301</v>
      </c>
      <c r="H323" s="18" t="s">
        <v>280</v>
      </c>
      <c r="I323" s="18" t="s">
        <v>36</v>
      </c>
      <c r="J323" s="18" t="str">
        <f t="shared" si="10"/>
        <v>2019</v>
      </c>
      <c r="K323" s="18"/>
      <c r="L323" s="18" t="s">
        <v>37</v>
      </c>
      <c r="M323" s="18" t="s">
        <v>37</v>
      </c>
      <c r="N323" s="19"/>
      <c r="O323" s="17" t="s">
        <v>1741</v>
      </c>
      <c r="P323" s="17" t="s">
        <v>1742</v>
      </c>
      <c r="Q323" s="17" t="s">
        <v>1581</v>
      </c>
      <c r="R323" s="17" t="s">
        <v>1582</v>
      </c>
      <c r="S323" s="17" t="s">
        <v>1743</v>
      </c>
      <c r="T323" s="17" t="s">
        <v>43</v>
      </c>
      <c r="U323" s="17">
        <v>210339</v>
      </c>
      <c r="V323" s="17" t="str">
        <f t="shared" si="11"/>
        <v>09/26/2019</v>
      </c>
      <c r="W323" s="17" t="s">
        <v>44</v>
      </c>
    </row>
    <row r="324" spans="1:24" s="17" customFormat="1" x14ac:dyDescent="0.25">
      <c r="A324" s="17" t="s">
        <v>24</v>
      </c>
      <c r="B324" s="17" t="s">
        <v>1577</v>
      </c>
      <c r="C324" s="17" t="s">
        <v>1744</v>
      </c>
      <c r="D324" s="17" t="s">
        <v>35</v>
      </c>
      <c r="E324" s="17" t="s">
        <v>26</v>
      </c>
      <c r="F324" s="17" t="s">
        <v>28</v>
      </c>
      <c r="G324" s="17" t="s">
        <v>1301</v>
      </c>
      <c r="H324" s="18" t="s">
        <v>280</v>
      </c>
      <c r="I324" s="18" t="s">
        <v>36</v>
      </c>
      <c r="J324" s="18" t="str">
        <f t="shared" ref="J324:J387" si="12">RIGHT(I324,4)</f>
        <v>2019</v>
      </c>
      <c r="K324" s="18"/>
      <c r="L324" s="18" t="s">
        <v>37</v>
      </c>
      <c r="M324" s="18" t="s">
        <v>37</v>
      </c>
      <c r="N324" s="19"/>
      <c r="O324" s="17" t="s">
        <v>1745</v>
      </c>
      <c r="P324" s="17" t="s">
        <v>1746</v>
      </c>
      <c r="Q324" s="17" t="s">
        <v>1581</v>
      </c>
      <c r="R324" s="17" t="s">
        <v>1582</v>
      </c>
      <c r="S324" s="17" t="s">
        <v>1747</v>
      </c>
      <c r="T324" s="17" t="s">
        <v>43</v>
      </c>
      <c r="U324" s="17">
        <v>210340</v>
      </c>
      <c r="V324" s="17" t="str">
        <f t="shared" si="11"/>
        <v>09/26/2019</v>
      </c>
      <c r="W324" s="17" t="s">
        <v>44</v>
      </c>
    </row>
    <row r="325" spans="1:24" s="17" customFormat="1" x14ac:dyDescent="0.25">
      <c r="A325" s="17" t="s">
        <v>24</v>
      </c>
      <c r="B325" s="17" t="s">
        <v>1577</v>
      </c>
      <c r="C325" s="17" t="s">
        <v>1748</v>
      </c>
      <c r="D325" s="17" t="s">
        <v>35</v>
      </c>
      <c r="E325" s="17" t="s">
        <v>26</v>
      </c>
      <c r="F325" s="17" t="s">
        <v>28</v>
      </c>
      <c r="G325" s="17" t="s">
        <v>1301</v>
      </c>
      <c r="H325" s="18" t="s">
        <v>280</v>
      </c>
      <c r="I325" s="18" t="s">
        <v>36</v>
      </c>
      <c r="J325" s="18" t="str">
        <f t="shared" si="12"/>
        <v>2019</v>
      </c>
      <c r="K325" s="18"/>
      <c r="L325" s="18" t="s">
        <v>37</v>
      </c>
      <c r="M325" s="18" t="s">
        <v>37</v>
      </c>
      <c r="N325" s="19"/>
      <c r="O325" s="17" t="s">
        <v>1749</v>
      </c>
      <c r="P325" s="17" t="s">
        <v>1750</v>
      </c>
      <c r="Q325" s="17" t="s">
        <v>1581</v>
      </c>
      <c r="R325" s="17" t="s">
        <v>1582</v>
      </c>
      <c r="S325" s="17" t="s">
        <v>1751</v>
      </c>
      <c r="T325" s="17" t="s">
        <v>43</v>
      </c>
      <c r="U325" s="17">
        <v>210341</v>
      </c>
      <c r="V325" s="17" t="str">
        <f t="shared" si="11"/>
        <v>09/26/2019</v>
      </c>
      <c r="W325" s="17" t="s">
        <v>44</v>
      </c>
    </row>
    <row r="326" spans="1:24" s="17" customFormat="1" x14ac:dyDescent="0.25">
      <c r="A326" s="17" t="s">
        <v>24</v>
      </c>
      <c r="B326" s="17" t="s">
        <v>1577</v>
      </c>
      <c r="C326" s="17" t="s">
        <v>1752</v>
      </c>
      <c r="D326" s="17" t="s">
        <v>35</v>
      </c>
      <c r="E326" s="17" t="s">
        <v>26</v>
      </c>
      <c r="F326" s="17" t="s">
        <v>28</v>
      </c>
      <c r="G326" s="17" t="s">
        <v>1301</v>
      </c>
      <c r="H326" s="18" t="s">
        <v>280</v>
      </c>
      <c r="I326" s="18" t="s">
        <v>36</v>
      </c>
      <c r="J326" s="18" t="str">
        <f t="shared" si="12"/>
        <v>2019</v>
      </c>
      <c r="K326" s="18"/>
      <c r="L326" s="18" t="s">
        <v>37</v>
      </c>
      <c r="M326" s="18" t="s">
        <v>37</v>
      </c>
      <c r="N326" s="19"/>
      <c r="O326" s="17" t="s">
        <v>1753</v>
      </c>
      <c r="P326" s="17" t="s">
        <v>1754</v>
      </c>
      <c r="Q326" s="17" t="s">
        <v>1581</v>
      </c>
      <c r="R326" s="17" t="s">
        <v>1582</v>
      </c>
      <c r="S326" s="17" t="s">
        <v>1755</v>
      </c>
      <c r="T326" s="17" t="s">
        <v>43</v>
      </c>
      <c r="U326" s="17">
        <v>210342</v>
      </c>
      <c r="V326" s="17" t="str">
        <f t="shared" si="11"/>
        <v>09/26/2019</v>
      </c>
      <c r="W326" s="17" t="s">
        <v>44</v>
      </c>
    </row>
    <row r="327" spans="1:24" s="17" customFormat="1" x14ac:dyDescent="0.25">
      <c r="A327" s="17" t="s">
        <v>24</v>
      </c>
      <c r="B327" s="17" t="s">
        <v>1577</v>
      </c>
      <c r="C327" s="17" t="s">
        <v>1756</v>
      </c>
      <c r="D327" s="17" t="s">
        <v>35</v>
      </c>
      <c r="E327" s="17" t="s">
        <v>26</v>
      </c>
      <c r="F327" s="17" t="s">
        <v>28</v>
      </c>
      <c r="G327" s="17" t="s">
        <v>1301</v>
      </c>
      <c r="H327" s="18" t="s">
        <v>280</v>
      </c>
      <c r="I327" s="18" t="s">
        <v>36</v>
      </c>
      <c r="J327" s="18" t="str">
        <f t="shared" si="12"/>
        <v>2019</v>
      </c>
      <c r="K327" s="18"/>
      <c r="L327" s="18" t="s">
        <v>37</v>
      </c>
      <c r="M327" s="18" t="s">
        <v>37</v>
      </c>
      <c r="N327" s="19"/>
      <c r="O327" s="17" t="s">
        <v>1757</v>
      </c>
      <c r="P327" s="17" t="s">
        <v>1758</v>
      </c>
      <c r="Q327" s="17" t="s">
        <v>1581</v>
      </c>
      <c r="R327" s="17" t="s">
        <v>1582</v>
      </c>
      <c r="S327" s="17" t="s">
        <v>1759</v>
      </c>
      <c r="T327" s="17" t="s">
        <v>43</v>
      </c>
      <c r="U327" s="17">
        <v>210343</v>
      </c>
      <c r="V327" s="17" t="str">
        <f t="shared" ref="V327:V390" si="13">TEXT(DATEVALUE(LEFT(O327,10)), "mm/dd/yyyy")</f>
        <v>09/26/2019</v>
      </c>
      <c r="W327" s="17" t="s">
        <v>44</v>
      </c>
    </row>
    <row r="328" spans="1:24" s="17" customFormat="1" x14ac:dyDescent="0.25">
      <c r="A328" s="17" t="s">
        <v>24</v>
      </c>
      <c r="B328" s="17" t="s">
        <v>1577</v>
      </c>
      <c r="C328" s="17" t="s">
        <v>1760</v>
      </c>
      <c r="D328" s="17" t="s">
        <v>35</v>
      </c>
      <c r="E328" s="17" t="s">
        <v>26</v>
      </c>
      <c r="F328" s="17" t="s">
        <v>28</v>
      </c>
      <c r="G328" s="17" t="s">
        <v>1301</v>
      </c>
      <c r="H328" s="18" t="s">
        <v>280</v>
      </c>
      <c r="I328" s="18" t="s">
        <v>36</v>
      </c>
      <c r="J328" s="18" t="str">
        <f t="shared" si="12"/>
        <v>2019</v>
      </c>
      <c r="K328" s="18"/>
      <c r="L328" s="18" t="s">
        <v>37</v>
      </c>
      <c r="M328" s="18" t="s">
        <v>37</v>
      </c>
      <c r="N328" s="19"/>
      <c r="O328" s="17" t="s">
        <v>1761</v>
      </c>
      <c r="P328" s="17" t="s">
        <v>1762</v>
      </c>
      <c r="Q328" s="17" t="s">
        <v>1581</v>
      </c>
      <c r="R328" s="17" t="s">
        <v>1582</v>
      </c>
      <c r="S328" s="17" t="s">
        <v>1763</v>
      </c>
      <c r="T328" s="17" t="s">
        <v>43</v>
      </c>
      <c r="U328" s="17">
        <v>210344</v>
      </c>
      <c r="V328" s="17" t="str">
        <f t="shared" si="13"/>
        <v>09/26/2019</v>
      </c>
      <c r="W328" s="17" t="s">
        <v>44</v>
      </c>
    </row>
    <row r="329" spans="1:24" s="17" customFormat="1" hidden="1" x14ac:dyDescent="0.25">
      <c r="A329" s="17" t="s">
        <v>24</v>
      </c>
      <c r="B329" s="17" t="s">
        <v>1577</v>
      </c>
      <c r="C329" s="17" t="s">
        <v>1764</v>
      </c>
      <c r="D329" s="17" t="s">
        <v>35</v>
      </c>
      <c r="E329" s="17" t="s">
        <v>26</v>
      </c>
      <c r="F329" s="17" t="s">
        <v>26</v>
      </c>
      <c r="G329" s="17" t="s">
        <v>37</v>
      </c>
      <c r="H329" s="18" t="s">
        <v>28</v>
      </c>
      <c r="I329" s="18" t="s">
        <v>36</v>
      </c>
      <c r="J329" s="18" t="str">
        <f t="shared" si="12"/>
        <v>2019</v>
      </c>
      <c r="K329" s="18"/>
      <c r="L329" s="18"/>
      <c r="M329" s="18"/>
      <c r="N329" s="19"/>
      <c r="O329" s="17" t="s">
        <v>1765</v>
      </c>
      <c r="P329" s="17" t="s">
        <v>1766</v>
      </c>
      <c r="Q329" s="17" t="s">
        <v>1581</v>
      </c>
      <c r="R329" s="17" t="s">
        <v>1582</v>
      </c>
      <c r="S329" s="17" t="s">
        <v>1767</v>
      </c>
      <c r="T329" s="17" t="s">
        <v>43</v>
      </c>
      <c r="U329" s="17">
        <v>210345</v>
      </c>
      <c r="V329" s="17" t="str">
        <f t="shared" si="13"/>
        <v>09/26/2019</v>
      </c>
      <c r="W329" s="17" t="s">
        <v>44</v>
      </c>
    </row>
    <row r="330" spans="1:24" s="17" customFormat="1" x14ac:dyDescent="0.25">
      <c r="A330" s="17" t="s">
        <v>24</v>
      </c>
      <c r="B330" s="17" t="s">
        <v>1577</v>
      </c>
      <c r="C330" s="17" t="s">
        <v>1768</v>
      </c>
      <c r="D330" s="17" t="s">
        <v>35</v>
      </c>
      <c r="E330" s="17" t="s">
        <v>26</v>
      </c>
      <c r="F330" s="17" t="s">
        <v>28</v>
      </c>
      <c r="G330" s="17" t="s">
        <v>1301</v>
      </c>
      <c r="H330" s="18" t="s">
        <v>280</v>
      </c>
      <c r="I330" s="18" t="s">
        <v>36</v>
      </c>
      <c r="J330" s="18" t="str">
        <f t="shared" si="12"/>
        <v>2019</v>
      </c>
      <c r="K330" s="18"/>
      <c r="L330" s="18" t="s">
        <v>37</v>
      </c>
      <c r="M330" s="18" t="s">
        <v>37</v>
      </c>
      <c r="N330" s="19"/>
      <c r="O330" s="17" t="s">
        <v>1769</v>
      </c>
      <c r="P330" s="17" t="s">
        <v>1770</v>
      </c>
      <c r="Q330" s="17" t="s">
        <v>1581</v>
      </c>
      <c r="R330" s="17" t="s">
        <v>1582</v>
      </c>
      <c r="S330" s="17" t="s">
        <v>1771</v>
      </c>
      <c r="T330" s="17" t="s">
        <v>43</v>
      </c>
      <c r="U330" s="17">
        <v>210346</v>
      </c>
      <c r="V330" s="17" t="str">
        <f t="shared" si="13"/>
        <v>09/26/2019</v>
      </c>
      <c r="W330" s="17" t="s">
        <v>44</v>
      </c>
    </row>
    <row r="331" spans="1:24" s="17" customFormat="1" x14ac:dyDescent="0.25">
      <c r="A331" s="17" t="s">
        <v>24</v>
      </c>
      <c r="B331" s="17" t="s">
        <v>1577</v>
      </c>
      <c r="C331" s="17" t="s">
        <v>1772</v>
      </c>
      <c r="D331" s="17" t="s">
        <v>35</v>
      </c>
      <c r="E331" s="17" t="s">
        <v>26</v>
      </c>
      <c r="F331" s="17" t="s">
        <v>28</v>
      </c>
      <c r="G331" s="17" t="s">
        <v>1301</v>
      </c>
      <c r="H331" s="18" t="s">
        <v>280</v>
      </c>
      <c r="I331" s="18" t="s">
        <v>36</v>
      </c>
      <c r="J331" s="18" t="str">
        <f t="shared" si="12"/>
        <v>2019</v>
      </c>
      <c r="K331" s="18"/>
      <c r="L331" s="18" t="s">
        <v>37</v>
      </c>
      <c r="M331" s="18" t="s">
        <v>37</v>
      </c>
      <c r="N331" s="19"/>
      <c r="O331" s="17" t="s">
        <v>1773</v>
      </c>
      <c r="P331" s="17" t="s">
        <v>1774</v>
      </c>
      <c r="Q331" s="17" t="s">
        <v>1581</v>
      </c>
      <c r="R331" s="17" t="s">
        <v>1582</v>
      </c>
      <c r="S331" s="17" t="s">
        <v>1775</v>
      </c>
      <c r="T331" s="17" t="s">
        <v>43</v>
      </c>
      <c r="U331" s="17">
        <v>210347</v>
      </c>
      <c r="V331" s="17" t="str">
        <f t="shared" si="13"/>
        <v>09/26/2019</v>
      </c>
      <c r="W331" s="17" t="s">
        <v>44</v>
      </c>
    </row>
    <row r="332" spans="1:24" s="17" customFormat="1" x14ac:dyDescent="0.25">
      <c r="A332" s="17" t="s">
        <v>24</v>
      </c>
      <c r="B332" s="17" t="s">
        <v>1577</v>
      </c>
      <c r="C332" s="17" t="s">
        <v>1776</v>
      </c>
      <c r="D332" s="17" t="s">
        <v>35</v>
      </c>
      <c r="E332" s="17" t="s">
        <v>26</v>
      </c>
      <c r="F332" s="17" t="s">
        <v>28</v>
      </c>
      <c r="G332" s="17" t="s">
        <v>1301</v>
      </c>
      <c r="H332" s="18" t="s">
        <v>280</v>
      </c>
      <c r="I332" s="18" t="s">
        <v>36</v>
      </c>
      <c r="J332" s="18" t="str">
        <f t="shared" si="12"/>
        <v>2019</v>
      </c>
      <c r="K332" s="18"/>
      <c r="L332" s="18" t="s">
        <v>37</v>
      </c>
      <c r="M332" s="18" t="s">
        <v>37</v>
      </c>
      <c r="N332" s="19"/>
      <c r="O332" s="17" t="s">
        <v>1777</v>
      </c>
      <c r="P332" s="17" t="s">
        <v>1778</v>
      </c>
      <c r="Q332" s="17" t="s">
        <v>1581</v>
      </c>
      <c r="R332" s="17" t="s">
        <v>1582</v>
      </c>
      <c r="S332" s="17" t="s">
        <v>1779</v>
      </c>
      <c r="T332" s="17" t="s">
        <v>43</v>
      </c>
      <c r="U332" s="17">
        <v>210348</v>
      </c>
      <c r="V332" s="17" t="str">
        <f t="shared" si="13"/>
        <v>09/26/2019</v>
      </c>
      <c r="W332" s="17" t="s">
        <v>44</v>
      </c>
    </row>
    <row r="333" spans="1:24" s="17" customFormat="1" x14ac:dyDescent="0.25">
      <c r="A333" s="17" t="s">
        <v>24</v>
      </c>
      <c r="B333" s="17" t="s">
        <v>1577</v>
      </c>
      <c r="C333" s="17" t="s">
        <v>1780</v>
      </c>
      <c r="D333" s="17" t="s">
        <v>35</v>
      </c>
      <c r="E333" s="17" t="s">
        <v>26</v>
      </c>
      <c r="F333" s="17" t="s">
        <v>28</v>
      </c>
      <c r="G333" s="17" t="s">
        <v>1301</v>
      </c>
      <c r="H333" s="18" t="s">
        <v>280</v>
      </c>
      <c r="I333" s="18" t="s">
        <v>36</v>
      </c>
      <c r="J333" s="18" t="str">
        <f t="shared" si="12"/>
        <v>2019</v>
      </c>
      <c r="K333" s="18"/>
      <c r="L333" s="18" t="s">
        <v>37</v>
      </c>
      <c r="M333" s="18" t="s">
        <v>37</v>
      </c>
      <c r="N333" s="19"/>
      <c r="O333" s="17" t="s">
        <v>1781</v>
      </c>
      <c r="P333" s="17" t="s">
        <v>1782</v>
      </c>
      <c r="Q333" s="17" t="s">
        <v>1581</v>
      </c>
      <c r="R333" s="17" t="s">
        <v>1582</v>
      </c>
      <c r="S333" s="17" t="s">
        <v>1783</v>
      </c>
      <c r="T333" s="17" t="s">
        <v>43</v>
      </c>
      <c r="U333" s="17">
        <v>210349</v>
      </c>
      <c r="V333" s="17" t="str">
        <f t="shared" si="13"/>
        <v>09/26/2019</v>
      </c>
      <c r="W333" s="17" t="s">
        <v>44</v>
      </c>
      <c r="X333" s="17" t="s">
        <v>1784</v>
      </c>
    </row>
    <row r="334" spans="1:24" hidden="1" x14ac:dyDescent="0.25">
      <c r="A334" t="s">
        <v>24</v>
      </c>
      <c r="B334" t="s">
        <v>1785</v>
      </c>
      <c r="C334" t="s">
        <v>1786</v>
      </c>
      <c r="D334" t="s">
        <v>35</v>
      </c>
      <c r="E334" t="s">
        <v>26</v>
      </c>
      <c r="F334" t="s">
        <v>26</v>
      </c>
      <c r="G334" t="s">
        <v>27</v>
      </c>
      <c r="H334" t="s">
        <v>28</v>
      </c>
      <c r="I334" s="3" t="s">
        <v>52</v>
      </c>
      <c r="J334" s="3" t="str">
        <f t="shared" si="12"/>
        <v>2019</v>
      </c>
      <c r="K334" s="3"/>
      <c r="L334" s="3"/>
      <c r="M334" s="3"/>
      <c r="N334" s="3"/>
      <c r="O334" s="2" t="s">
        <v>1787</v>
      </c>
      <c r="P334" t="s">
        <v>1788</v>
      </c>
      <c r="Q334" t="s">
        <v>1789</v>
      </c>
      <c r="R334" t="s">
        <v>1790</v>
      </c>
      <c r="S334" t="s">
        <v>1791</v>
      </c>
      <c r="T334" t="s">
        <v>43</v>
      </c>
      <c r="U334">
        <v>132285</v>
      </c>
      <c r="V334" t="str">
        <f t="shared" si="13"/>
        <v>10/25/2019</v>
      </c>
      <c r="W334" t="s">
        <v>44</v>
      </c>
    </row>
    <row r="335" spans="1:24" hidden="1" x14ac:dyDescent="0.25">
      <c r="A335" t="s">
        <v>24</v>
      </c>
      <c r="B335" t="s">
        <v>1792</v>
      </c>
      <c r="C335" t="s">
        <v>1793</v>
      </c>
      <c r="D335" t="s">
        <v>107</v>
      </c>
      <c r="E335" t="s">
        <v>26</v>
      </c>
      <c r="F335" t="s">
        <v>26</v>
      </c>
      <c r="G335" t="s">
        <v>37</v>
      </c>
      <c r="H335" t="s">
        <v>28</v>
      </c>
      <c r="I335" s="3" t="s">
        <v>1794</v>
      </c>
      <c r="J335" s="3" t="str">
        <f t="shared" si="12"/>
        <v>2023</v>
      </c>
      <c r="K335" s="3"/>
      <c r="L335" s="3"/>
      <c r="M335" s="3"/>
      <c r="N335" s="3"/>
      <c r="O335" s="2" t="s">
        <v>1795</v>
      </c>
      <c r="P335" t="s">
        <v>1796</v>
      </c>
      <c r="Q335" t="s">
        <v>1797</v>
      </c>
      <c r="R335" t="s">
        <v>1798</v>
      </c>
      <c r="S335" t="s">
        <v>1799</v>
      </c>
      <c r="T335" t="s">
        <v>43</v>
      </c>
      <c r="U335">
        <v>308010</v>
      </c>
      <c r="V335" t="str">
        <f t="shared" si="13"/>
        <v>09/22/2023</v>
      </c>
      <c r="W335" t="s">
        <v>44</v>
      </c>
    </row>
    <row r="336" spans="1:24" s="17" customFormat="1" x14ac:dyDescent="0.25">
      <c r="A336" s="17" t="s">
        <v>24</v>
      </c>
      <c r="B336" s="17" t="s">
        <v>1792</v>
      </c>
      <c r="C336" s="17" t="s">
        <v>1800</v>
      </c>
      <c r="D336" s="17" t="s">
        <v>35</v>
      </c>
      <c r="E336" s="17" t="s">
        <v>26</v>
      </c>
      <c r="F336" s="17" t="s">
        <v>28</v>
      </c>
      <c r="G336" s="18"/>
      <c r="H336" s="18" t="s">
        <v>280</v>
      </c>
      <c r="I336" s="18" t="s">
        <v>52</v>
      </c>
      <c r="J336" s="18" t="str">
        <f t="shared" si="12"/>
        <v>2019</v>
      </c>
      <c r="K336" s="18"/>
      <c r="L336" s="18" t="s">
        <v>37</v>
      </c>
      <c r="M336" s="18" t="s">
        <v>37</v>
      </c>
      <c r="O336" s="17" t="s">
        <v>1801</v>
      </c>
      <c r="P336" s="17" t="s">
        <v>1802</v>
      </c>
      <c r="Q336" s="17" t="s">
        <v>1797</v>
      </c>
      <c r="R336" s="17" t="s">
        <v>1798</v>
      </c>
      <c r="S336" s="17" t="s">
        <v>1803</v>
      </c>
      <c r="T336" s="17" t="s">
        <v>43</v>
      </c>
      <c r="U336" s="17">
        <v>307953</v>
      </c>
      <c r="V336" s="17" t="str">
        <f t="shared" si="13"/>
        <v>10/25/2019</v>
      </c>
      <c r="W336" s="17" t="s">
        <v>44</v>
      </c>
    </row>
    <row r="337" spans="1:24" s="17" customFormat="1" x14ac:dyDescent="0.25">
      <c r="A337" s="17" t="s">
        <v>24</v>
      </c>
      <c r="B337" s="17" t="s">
        <v>1792</v>
      </c>
      <c r="C337" s="17" t="s">
        <v>1804</v>
      </c>
      <c r="D337" s="17" t="s">
        <v>35</v>
      </c>
      <c r="E337" s="17" t="s">
        <v>26</v>
      </c>
      <c r="F337" s="17" t="s">
        <v>28</v>
      </c>
      <c r="G337" s="18"/>
      <c r="H337" s="18" t="s">
        <v>280</v>
      </c>
      <c r="I337" s="18" t="s">
        <v>52</v>
      </c>
      <c r="J337" s="18" t="str">
        <f t="shared" si="12"/>
        <v>2019</v>
      </c>
      <c r="K337" s="18"/>
      <c r="L337" s="18" t="s">
        <v>37</v>
      </c>
      <c r="M337" s="18" t="s">
        <v>37</v>
      </c>
      <c r="O337" s="17" t="s">
        <v>1805</v>
      </c>
      <c r="P337" s="17" t="s">
        <v>1806</v>
      </c>
      <c r="Q337" s="17" t="s">
        <v>1797</v>
      </c>
      <c r="R337" s="17" t="s">
        <v>1798</v>
      </c>
      <c r="S337" s="17" t="s">
        <v>1807</v>
      </c>
      <c r="T337" s="17" t="s">
        <v>43</v>
      </c>
      <c r="U337" s="17">
        <v>307955</v>
      </c>
      <c r="V337" s="17" t="str">
        <f t="shared" si="13"/>
        <v>10/25/2019</v>
      </c>
      <c r="W337" s="17" t="s">
        <v>44</v>
      </c>
      <c r="X337" s="17" t="s">
        <v>1808</v>
      </c>
    </row>
    <row r="338" spans="1:24" s="17" customFormat="1" x14ac:dyDescent="0.25">
      <c r="A338" s="17" t="s">
        <v>24</v>
      </c>
      <c r="B338" s="17" t="s">
        <v>1792</v>
      </c>
      <c r="C338" s="17" t="s">
        <v>1809</v>
      </c>
      <c r="D338" s="17" t="s">
        <v>35</v>
      </c>
      <c r="E338" s="17" t="s">
        <v>26</v>
      </c>
      <c r="F338" s="17" t="s">
        <v>28</v>
      </c>
      <c r="G338" s="18"/>
      <c r="H338" s="18" t="s">
        <v>280</v>
      </c>
      <c r="I338" s="18" t="s">
        <v>52</v>
      </c>
      <c r="J338" s="18" t="str">
        <f t="shared" si="12"/>
        <v>2019</v>
      </c>
      <c r="K338" s="18"/>
      <c r="L338" s="18" t="s">
        <v>37</v>
      </c>
      <c r="M338" s="18" t="s">
        <v>37</v>
      </c>
      <c r="O338" s="17" t="s">
        <v>1810</v>
      </c>
      <c r="P338" s="17" t="s">
        <v>1811</v>
      </c>
      <c r="Q338" s="17" t="s">
        <v>1797</v>
      </c>
      <c r="R338" s="17" t="s">
        <v>1798</v>
      </c>
      <c r="S338" s="17" t="s">
        <v>1812</v>
      </c>
      <c r="T338" s="17" t="s">
        <v>43</v>
      </c>
      <c r="U338" s="17">
        <v>307956</v>
      </c>
      <c r="V338" s="17" t="str">
        <f t="shared" si="13"/>
        <v>10/25/2019</v>
      </c>
      <c r="W338" s="17" t="s">
        <v>44</v>
      </c>
      <c r="X338" s="17" t="s">
        <v>1813</v>
      </c>
    </row>
    <row r="339" spans="1:24" s="17" customFormat="1" x14ac:dyDescent="0.25">
      <c r="A339" s="17" t="s">
        <v>24</v>
      </c>
      <c r="B339" s="17" t="s">
        <v>1792</v>
      </c>
      <c r="C339" s="17" t="s">
        <v>1814</v>
      </c>
      <c r="D339" s="17" t="s">
        <v>35</v>
      </c>
      <c r="E339" s="17" t="s">
        <v>26</v>
      </c>
      <c r="F339" s="17" t="s">
        <v>28</v>
      </c>
      <c r="G339" s="18"/>
      <c r="H339" s="18" t="s">
        <v>280</v>
      </c>
      <c r="I339" s="18" t="s">
        <v>52</v>
      </c>
      <c r="J339" s="18" t="str">
        <f t="shared" si="12"/>
        <v>2019</v>
      </c>
      <c r="K339" s="18"/>
      <c r="L339" s="18" t="s">
        <v>37</v>
      </c>
      <c r="M339" s="18" t="s">
        <v>37</v>
      </c>
      <c r="O339" s="17" t="s">
        <v>1815</v>
      </c>
      <c r="P339" s="17" t="s">
        <v>1816</v>
      </c>
      <c r="Q339" s="17" t="s">
        <v>1797</v>
      </c>
      <c r="R339" s="17" t="s">
        <v>1798</v>
      </c>
      <c r="S339" s="17" t="s">
        <v>1817</v>
      </c>
      <c r="T339" s="17" t="s">
        <v>43</v>
      </c>
      <c r="U339" s="17">
        <v>307957</v>
      </c>
      <c r="V339" s="17" t="str">
        <f t="shared" si="13"/>
        <v>10/25/2019</v>
      </c>
      <c r="W339" s="17" t="s">
        <v>44</v>
      </c>
    </row>
    <row r="340" spans="1:24" s="17" customFormat="1" x14ac:dyDescent="0.25">
      <c r="A340" s="17" t="s">
        <v>24</v>
      </c>
      <c r="B340" s="17" t="s">
        <v>1792</v>
      </c>
      <c r="C340" s="17" t="s">
        <v>1818</v>
      </c>
      <c r="D340" s="17" t="s">
        <v>35</v>
      </c>
      <c r="E340" s="17" t="s">
        <v>26</v>
      </c>
      <c r="F340" s="17" t="s">
        <v>28</v>
      </c>
      <c r="G340" s="18"/>
      <c r="H340" s="18" t="s">
        <v>280</v>
      </c>
      <c r="I340" s="18" t="s">
        <v>52</v>
      </c>
      <c r="J340" s="18" t="str">
        <f t="shared" si="12"/>
        <v>2019</v>
      </c>
      <c r="K340" s="18"/>
      <c r="L340" s="18" t="s">
        <v>37</v>
      </c>
      <c r="M340" s="18" t="s">
        <v>37</v>
      </c>
      <c r="O340" s="17" t="s">
        <v>1819</v>
      </c>
      <c r="P340" s="17" t="s">
        <v>1820</v>
      </c>
      <c r="Q340" s="17" t="s">
        <v>1797</v>
      </c>
      <c r="R340" s="17" t="s">
        <v>1798</v>
      </c>
      <c r="S340" s="17" t="s">
        <v>1821</v>
      </c>
      <c r="T340" s="17" t="s">
        <v>43</v>
      </c>
      <c r="U340" s="17">
        <v>307958</v>
      </c>
      <c r="V340" s="17" t="str">
        <f t="shared" si="13"/>
        <v>10/25/2019</v>
      </c>
      <c r="W340" s="17" t="s">
        <v>44</v>
      </c>
      <c r="X340" s="17" t="s">
        <v>1822</v>
      </c>
    </row>
    <row r="341" spans="1:24" s="17" customFormat="1" x14ac:dyDescent="0.25">
      <c r="A341" s="17" t="s">
        <v>24</v>
      </c>
      <c r="B341" s="17" t="s">
        <v>1792</v>
      </c>
      <c r="C341" s="17" t="s">
        <v>1823</v>
      </c>
      <c r="D341" s="17" t="s">
        <v>35</v>
      </c>
      <c r="E341" s="17" t="s">
        <v>26</v>
      </c>
      <c r="F341" s="17" t="s">
        <v>28</v>
      </c>
      <c r="G341" s="18"/>
      <c r="H341" s="18" t="s">
        <v>280</v>
      </c>
      <c r="I341" s="18" t="s">
        <v>52</v>
      </c>
      <c r="J341" s="18" t="str">
        <f t="shared" si="12"/>
        <v>2019</v>
      </c>
      <c r="K341" s="18"/>
      <c r="L341" s="18" t="s">
        <v>37</v>
      </c>
      <c r="M341" s="18" t="s">
        <v>37</v>
      </c>
      <c r="O341" s="17" t="s">
        <v>1824</v>
      </c>
      <c r="P341" s="17" t="s">
        <v>1825</v>
      </c>
      <c r="Q341" s="17" t="s">
        <v>1797</v>
      </c>
      <c r="R341" s="17" t="s">
        <v>1798</v>
      </c>
      <c r="S341" s="17" t="s">
        <v>1826</v>
      </c>
      <c r="T341" s="17" t="s">
        <v>43</v>
      </c>
      <c r="U341" s="17">
        <v>307960</v>
      </c>
      <c r="V341" s="17" t="str">
        <f t="shared" si="13"/>
        <v>10/25/2019</v>
      </c>
      <c r="W341" s="17" t="s">
        <v>44</v>
      </c>
    </row>
    <row r="342" spans="1:24" s="17" customFormat="1" x14ac:dyDescent="0.25">
      <c r="A342" s="17" t="s">
        <v>24</v>
      </c>
      <c r="B342" s="17" t="s">
        <v>1792</v>
      </c>
      <c r="C342" s="17" t="s">
        <v>1827</v>
      </c>
      <c r="D342" s="17" t="s">
        <v>35</v>
      </c>
      <c r="E342" s="17" t="s">
        <v>26</v>
      </c>
      <c r="F342" s="17" t="s">
        <v>28</v>
      </c>
      <c r="G342" s="18"/>
      <c r="H342" s="18" t="s">
        <v>280</v>
      </c>
      <c r="I342" s="18" t="s">
        <v>52</v>
      </c>
      <c r="J342" s="18" t="str">
        <f t="shared" si="12"/>
        <v>2019</v>
      </c>
      <c r="K342" s="18"/>
      <c r="L342" s="18" t="s">
        <v>37</v>
      </c>
      <c r="M342" s="18" t="s">
        <v>37</v>
      </c>
      <c r="O342" s="17" t="s">
        <v>1828</v>
      </c>
      <c r="P342" s="17" t="s">
        <v>1829</v>
      </c>
      <c r="Q342" s="17" t="s">
        <v>1797</v>
      </c>
      <c r="R342" s="17" t="s">
        <v>1798</v>
      </c>
      <c r="S342" s="17" t="s">
        <v>1830</v>
      </c>
      <c r="T342" s="17" t="s">
        <v>43</v>
      </c>
      <c r="U342" s="17">
        <v>307961</v>
      </c>
      <c r="V342" s="17" t="str">
        <f t="shared" si="13"/>
        <v>10/25/2019</v>
      </c>
      <c r="W342" s="17" t="s">
        <v>44</v>
      </c>
    </row>
    <row r="343" spans="1:24" s="17" customFormat="1" x14ac:dyDescent="0.25">
      <c r="A343" s="17" t="s">
        <v>24</v>
      </c>
      <c r="B343" s="17" t="s">
        <v>1792</v>
      </c>
      <c r="C343" s="17" t="s">
        <v>1831</v>
      </c>
      <c r="D343" s="17" t="s">
        <v>35</v>
      </c>
      <c r="E343" s="17" t="s">
        <v>26</v>
      </c>
      <c r="F343" s="17" t="s">
        <v>28</v>
      </c>
      <c r="G343" s="18"/>
      <c r="H343" s="18" t="s">
        <v>280</v>
      </c>
      <c r="I343" s="18" t="s">
        <v>52</v>
      </c>
      <c r="J343" s="18" t="str">
        <f t="shared" si="12"/>
        <v>2019</v>
      </c>
      <c r="K343" s="18"/>
      <c r="L343" s="18" t="s">
        <v>37</v>
      </c>
      <c r="M343" s="18" t="s">
        <v>37</v>
      </c>
      <c r="O343" s="17" t="s">
        <v>1832</v>
      </c>
      <c r="P343" s="17" t="s">
        <v>1833</v>
      </c>
      <c r="Q343" s="17" t="s">
        <v>1797</v>
      </c>
      <c r="R343" s="17" t="s">
        <v>1798</v>
      </c>
      <c r="S343" s="17" t="s">
        <v>1834</v>
      </c>
      <c r="T343" s="17" t="s">
        <v>43</v>
      </c>
      <c r="U343" s="17">
        <v>307962</v>
      </c>
      <c r="V343" s="17" t="str">
        <f t="shared" si="13"/>
        <v>10/25/2019</v>
      </c>
      <c r="W343" s="17" t="s">
        <v>44</v>
      </c>
      <c r="X343" s="17" t="s">
        <v>1835</v>
      </c>
    </row>
    <row r="344" spans="1:24" s="17" customFormat="1" x14ac:dyDescent="0.25">
      <c r="A344" s="17" t="s">
        <v>24</v>
      </c>
      <c r="B344" s="17" t="s">
        <v>1792</v>
      </c>
      <c r="C344" s="17" t="s">
        <v>1836</v>
      </c>
      <c r="D344" s="17" t="s">
        <v>35</v>
      </c>
      <c r="E344" s="17" t="s">
        <v>26</v>
      </c>
      <c r="F344" s="17" t="s">
        <v>28</v>
      </c>
      <c r="G344" s="18"/>
      <c r="H344" s="18" t="s">
        <v>280</v>
      </c>
      <c r="I344" s="18" t="s">
        <v>52</v>
      </c>
      <c r="J344" s="18" t="str">
        <f t="shared" si="12"/>
        <v>2019</v>
      </c>
      <c r="K344" s="18"/>
      <c r="L344" s="18" t="s">
        <v>37</v>
      </c>
      <c r="M344" s="18" t="s">
        <v>37</v>
      </c>
      <c r="O344" s="17" t="s">
        <v>1837</v>
      </c>
      <c r="P344" s="17" t="s">
        <v>1838</v>
      </c>
      <c r="Q344" s="17" t="s">
        <v>1797</v>
      </c>
      <c r="R344" s="17" t="s">
        <v>1798</v>
      </c>
      <c r="S344" s="17" t="s">
        <v>1839</v>
      </c>
      <c r="T344" s="17" t="s">
        <v>43</v>
      </c>
      <c r="U344" s="17">
        <v>307963</v>
      </c>
      <c r="V344" s="17" t="str">
        <f t="shared" si="13"/>
        <v>10/25/2019</v>
      </c>
      <c r="W344" s="17" t="s">
        <v>44</v>
      </c>
    </row>
    <row r="345" spans="1:24" s="17" customFormat="1" x14ac:dyDescent="0.25">
      <c r="A345" s="17" t="s">
        <v>24</v>
      </c>
      <c r="B345" s="17" t="s">
        <v>1792</v>
      </c>
      <c r="C345" s="17" t="s">
        <v>1840</v>
      </c>
      <c r="D345" s="17" t="s">
        <v>35</v>
      </c>
      <c r="E345" s="17" t="s">
        <v>26</v>
      </c>
      <c r="F345" s="17" t="s">
        <v>28</v>
      </c>
      <c r="G345" s="18"/>
      <c r="H345" s="18" t="s">
        <v>280</v>
      </c>
      <c r="I345" s="18" t="s">
        <v>52</v>
      </c>
      <c r="J345" s="18" t="str">
        <f t="shared" si="12"/>
        <v>2019</v>
      </c>
      <c r="K345" s="18"/>
      <c r="L345" s="18" t="s">
        <v>37</v>
      </c>
      <c r="M345" s="18" t="s">
        <v>37</v>
      </c>
      <c r="O345" s="17" t="s">
        <v>1841</v>
      </c>
      <c r="P345" s="17" t="s">
        <v>1842</v>
      </c>
      <c r="Q345" s="17" t="s">
        <v>1797</v>
      </c>
      <c r="R345" s="17" t="s">
        <v>1798</v>
      </c>
      <c r="S345" s="17" t="s">
        <v>1843</v>
      </c>
      <c r="T345" s="17" t="s">
        <v>43</v>
      </c>
      <c r="U345" s="17">
        <v>307964</v>
      </c>
      <c r="V345" s="17" t="str">
        <f t="shared" si="13"/>
        <v>10/25/2019</v>
      </c>
      <c r="W345" s="17" t="s">
        <v>44</v>
      </c>
      <c r="X345" s="17" t="s">
        <v>1844</v>
      </c>
    </row>
    <row r="346" spans="1:24" s="17" customFormat="1" x14ac:dyDescent="0.25">
      <c r="A346" s="17" t="s">
        <v>24</v>
      </c>
      <c r="B346" s="17" t="s">
        <v>1792</v>
      </c>
      <c r="C346" s="17" t="s">
        <v>1845</v>
      </c>
      <c r="D346" s="17" t="s">
        <v>35</v>
      </c>
      <c r="E346" s="17" t="s">
        <v>26</v>
      </c>
      <c r="F346" s="17" t="s">
        <v>28</v>
      </c>
      <c r="G346" s="18"/>
      <c r="H346" s="18" t="s">
        <v>280</v>
      </c>
      <c r="I346" s="18" t="s">
        <v>52</v>
      </c>
      <c r="J346" s="18" t="str">
        <f t="shared" si="12"/>
        <v>2019</v>
      </c>
      <c r="K346" s="18"/>
      <c r="L346" s="18" t="s">
        <v>37</v>
      </c>
      <c r="M346" s="18" t="s">
        <v>37</v>
      </c>
      <c r="O346" s="17" t="s">
        <v>1846</v>
      </c>
      <c r="P346" s="17" t="s">
        <v>1847</v>
      </c>
      <c r="Q346" s="17" t="s">
        <v>1797</v>
      </c>
      <c r="R346" s="17" t="s">
        <v>1798</v>
      </c>
      <c r="S346" s="17" t="s">
        <v>1848</v>
      </c>
      <c r="T346" s="17" t="s">
        <v>43</v>
      </c>
      <c r="U346" s="17">
        <v>307965</v>
      </c>
      <c r="V346" s="17" t="str">
        <f t="shared" si="13"/>
        <v>10/25/2019</v>
      </c>
      <c r="W346" s="17" t="s">
        <v>44</v>
      </c>
    </row>
    <row r="347" spans="1:24" s="17" customFormat="1" x14ac:dyDescent="0.25">
      <c r="A347" s="17" t="s">
        <v>24</v>
      </c>
      <c r="B347" s="17" t="s">
        <v>1792</v>
      </c>
      <c r="C347" s="17" t="s">
        <v>1849</v>
      </c>
      <c r="D347" s="17" t="s">
        <v>35</v>
      </c>
      <c r="E347" s="17" t="s">
        <v>26</v>
      </c>
      <c r="F347" s="17" t="s">
        <v>28</v>
      </c>
      <c r="G347" s="18"/>
      <c r="H347" s="18" t="s">
        <v>280</v>
      </c>
      <c r="I347" s="18" t="s">
        <v>52</v>
      </c>
      <c r="J347" s="18" t="str">
        <f t="shared" si="12"/>
        <v>2019</v>
      </c>
      <c r="K347" s="18"/>
      <c r="L347" s="18" t="s">
        <v>37</v>
      </c>
      <c r="M347" s="18" t="s">
        <v>37</v>
      </c>
      <c r="O347" s="17" t="s">
        <v>1850</v>
      </c>
      <c r="P347" s="17" t="s">
        <v>1851</v>
      </c>
      <c r="Q347" s="17" t="s">
        <v>1797</v>
      </c>
      <c r="R347" s="17" t="s">
        <v>1798</v>
      </c>
      <c r="S347" s="17" t="s">
        <v>1852</v>
      </c>
      <c r="T347" s="17" t="s">
        <v>43</v>
      </c>
      <c r="U347" s="17">
        <v>307969</v>
      </c>
      <c r="V347" s="17" t="str">
        <f t="shared" si="13"/>
        <v>10/25/2019</v>
      </c>
      <c r="W347" s="17" t="s">
        <v>44</v>
      </c>
    </row>
    <row r="348" spans="1:24" s="17" customFormat="1" x14ac:dyDescent="0.25">
      <c r="A348" s="17" t="s">
        <v>24</v>
      </c>
      <c r="B348" s="17" t="s">
        <v>1792</v>
      </c>
      <c r="C348" s="17" t="s">
        <v>1853</v>
      </c>
      <c r="D348" s="17" t="s">
        <v>35</v>
      </c>
      <c r="E348" s="17" t="s">
        <v>26</v>
      </c>
      <c r="F348" s="17" t="s">
        <v>28</v>
      </c>
      <c r="G348" s="18"/>
      <c r="H348" s="18" t="s">
        <v>280</v>
      </c>
      <c r="I348" s="18" t="s">
        <v>52</v>
      </c>
      <c r="J348" s="18" t="str">
        <f t="shared" si="12"/>
        <v>2019</v>
      </c>
      <c r="K348" s="18"/>
      <c r="L348" s="18" t="s">
        <v>37</v>
      </c>
      <c r="M348" s="18" t="s">
        <v>37</v>
      </c>
      <c r="O348" s="17" t="s">
        <v>1854</v>
      </c>
      <c r="P348" s="17" t="s">
        <v>1855</v>
      </c>
      <c r="Q348" s="17" t="s">
        <v>1797</v>
      </c>
      <c r="R348" s="17" t="s">
        <v>1798</v>
      </c>
      <c r="S348" s="17" t="s">
        <v>1856</v>
      </c>
      <c r="T348" s="17" t="s">
        <v>43</v>
      </c>
      <c r="U348" s="17">
        <v>307971</v>
      </c>
      <c r="V348" s="17" t="str">
        <f t="shared" si="13"/>
        <v>10/25/2019</v>
      </c>
      <c r="W348" s="17" t="s">
        <v>44</v>
      </c>
    </row>
    <row r="349" spans="1:24" s="17" customFormat="1" x14ac:dyDescent="0.25">
      <c r="A349" s="17" t="s">
        <v>24</v>
      </c>
      <c r="B349" s="17" t="s">
        <v>1792</v>
      </c>
      <c r="C349" s="17" t="s">
        <v>1857</v>
      </c>
      <c r="D349" s="17" t="s">
        <v>35</v>
      </c>
      <c r="E349" s="17" t="s">
        <v>26</v>
      </c>
      <c r="F349" s="17" t="s">
        <v>28</v>
      </c>
      <c r="G349" s="18"/>
      <c r="H349" s="18" t="s">
        <v>280</v>
      </c>
      <c r="I349" s="18" t="s">
        <v>52</v>
      </c>
      <c r="J349" s="18" t="str">
        <f t="shared" si="12"/>
        <v>2019</v>
      </c>
      <c r="K349" s="18"/>
      <c r="L349" s="18" t="s">
        <v>37</v>
      </c>
      <c r="M349" s="18" t="s">
        <v>37</v>
      </c>
      <c r="O349" s="17" t="s">
        <v>1858</v>
      </c>
      <c r="P349" s="17" t="s">
        <v>1859</v>
      </c>
      <c r="Q349" s="17" t="s">
        <v>1797</v>
      </c>
      <c r="R349" s="17" t="s">
        <v>1798</v>
      </c>
      <c r="S349" s="17" t="s">
        <v>1860</v>
      </c>
      <c r="T349" s="17" t="s">
        <v>43</v>
      </c>
      <c r="U349" s="17">
        <v>307973</v>
      </c>
      <c r="V349" s="17" t="str">
        <f t="shared" si="13"/>
        <v>10/25/2019</v>
      </c>
      <c r="W349" s="17" t="s">
        <v>44</v>
      </c>
    </row>
    <row r="350" spans="1:24" s="17" customFormat="1" x14ac:dyDescent="0.25">
      <c r="A350" s="17" t="s">
        <v>24</v>
      </c>
      <c r="B350" s="17" t="s">
        <v>1792</v>
      </c>
      <c r="C350" s="17" t="s">
        <v>1861</v>
      </c>
      <c r="D350" s="17" t="s">
        <v>35</v>
      </c>
      <c r="E350" s="17" t="s">
        <v>26</v>
      </c>
      <c r="F350" s="17" t="s">
        <v>28</v>
      </c>
      <c r="G350" s="18"/>
      <c r="H350" s="18" t="s">
        <v>280</v>
      </c>
      <c r="I350" s="18" t="s">
        <v>52</v>
      </c>
      <c r="J350" s="18" t="str">
        <f t="shared" si="12"/>
        <v>2019</v>
      </c>
      <c r="K350" s="18"/>
      <c r="L350" s="18" t="s">
        <v>37</v>
      </c>
      <c r="M350" s="18" t="s">
        <v>37</v>
      </c>
      <c r="O350" s="17" t="s">
        <v>1862</v>
      </c>
      <c r="P350" s="17" t="s">
        <v>1863</v>
      </c>
      <c r="Q350" s="17" t="s">
        <v>1797</v>
      </c>
      <c r="R350" s="17" t="s">
        <v>1798</v>
      </c>
      <c r="S350" s="17" t="s">
        <v>1864</v>
      </c>
      <c r="T350" s="17" t="s">
        <v>43</v>
      </c>
      <c r="U350" s="17">
        <v>307976</v>
      </c>
      <c r="V350" s="17" t="str">
        <f t="shared" si="13"/>
        <v>10/25/2019</v>
      </c>
      <c r="W350" s="17" t="s">
        <v>44</v>
      </c>
      <c r="X350" s="17" t="s">
        <v>1865</v>
      </c>
    </row>
    <row r="351" spans="1:24" s="17" customFormat="1" x14ac:dyDescent="0.25">
      <c r="A351" s="17" t="s">
        <v>24</v>
      </c>
      <c r="B351" s="17" t="s">
        <v>1792</v>
      </c>
      <c r="C351" s="17" t="s">
        <v>1866</v>
      </c>
      <c r="D351" s="17" t="s">
        <v>35</v>
      </c>
      <c r="E351" s="17" t="s">
        <v>26</v>
      </c>
      <c r="F351" s="17" t="s">
        <v>28</v>
      </c>
      <c r="G351" s="18"/>
      <c r="H351" s="18" t="s">
        <v>28</v>
      </c>
      <c r="I351" s="18" t="s">
        <v>1867</v>
      </c>
      <c r="J351" s="18" t="str">
        <f t="shared" si="12"/>
        <v>2020</v>
      </c>
      <c r="K351" s="18"/>
      <c r="L351" s="18" t="s">
        <v>37</v>
      </c>
      <c r="M351" s="18" t="s">
        <v>37</v>
      </c>
      <c r="O351" s="17" t="s">
        <v>1868</v>
      </c>
      <c r="P351" s="17" t="s">
        <v>1869</v>
      </c>
      <c r="Q351" s="17" t="s">
        <v>1797</v>
      </c>
      <c r="R351" s="17" t="s">
        <v>1798</v>
      </c>
      <c r="S351" s="17" t="s">
        <v>1870</v>
      </c>
      <c r="T351" s="17" t="s">
        <v>43</v>
      </c>
      <c r="U351" s="17">
        <v>307985</v>
      </c>
      <c r="V351" s="17" t="str">
        <f t="shared" si="13"/>
        <v>05/20/2020</v>
      </c>
      <c r="W351" s="17" t="s">
        <v>44</v>
      </c>
    </row>
    <row r="352" spans="1:24" s="17" customFormat="1" hidden="1" x14ac:dyDescent="0.25">
      <c r="A352" s="17" t="s">
        <v>24</v>
      </c>
      <c r="B352" s="17" t="s">
        <v>1792</v>
      </c>
      <c r="C352" s="17" t="s">
        <v>1871</v>
      </c>
      <c r="D352" s="17" t="s">
        <v>35</v>
      </c>
      <c r="E352" s="17" t="s">
        <v>26</v>
      </c>
      <c r="F352" s="17" t="s">
        <v>26</v>
      </c>
      <c r="G352" s="18" t="s">
        <v>37</v>
      </c>
      <c r="H352" s="18" t="s">
        <v>28</v>
      </c>
      <c r="I352" s="18" t="s">
        <v>52</v>
      </c>
      <c r="J352" s="18" t="str">
        <f t="shared" si="12"/>
        <v>2019</v>
      </c>
      <c r="K352" s="18"/>
      <c r="L352" s="18"/>
      <c r="M352" s="19"/>
      <c r="O352" s="17" t="s">
        <v>1872</v>
      </c>
      <c r="P352" s="17" t="s">
        <v>1873</v>
      </c>
      <c r="Q352" s="17" t="s">
        <v>1797</v>
      </c>
      <c r="R352" s="17" t="s">
        <v>1798</v>
      </c>
      <c r="S352" s="17" t="s">
        <v>1874</v>
      </c>
      <c r="T352" s="17" t="s">
        <v>43</v>
      </c>
      <c r="U352" s="17">
        <v>307959</v>
      </c>
      <c r="V352" s="17" t="str">
        <f t="shared" si="13"/>
        <v>10/25/2019</v>
      </c>
      <c r="W352" s="17" t="s">
        <v>44</v>
      </c>
      <c r="X352" s="17" t="s">
        <v>1875</v>
      </c>
    </row>
    <row r="353" spans="1:24" s="17" customFormat="1" x14ac:dyDescent="0.25">
      <c r="A353" s="17" t="s">
        <v>24</v>
      </c>
      <c r="B353" s="17" t="s">
        <v>1792</v>
      </c>
      <c r="C353" s="17" t="s">
        <v>235</v>
      </c>
      <c r="D353" s="17" t="s">
        <v>35</v>
      </c>
      <c r="E353" s="17" t="s">
        <v>26</v>
      </c>
      <c r="F353" s="17" t="s">
        <v>28</v>
      </c>
      <c r="G353" s="18"/>
      <c r="H353" s="18" t="s">
        <v>280</v>
      </c>
      <c r="I353" s="18" t="s">
        <v>1876</v>
      </c>
      <c r="J353" s="18" t="str">
        <f t="shared" si="12"/>
        <v>2021</v>
      </c>
      <c r="K353" s="18"/>
      <c r="L353" s="18" t="s">
        <v>37</v>
      </c>
      <c r="M353" s="18" t="s">
        <v>37</v>
      </c>
      <c r="O353" s="17" t="s">
        <v>1877</v>
      </c>
      <c r="P353" s="17" t="s">
        <v>1878</v>
      </c>
      <c r="Q353" s="17" t="s">
        <v>1797</v>
      </c>
      <c r="R353" s="17" t="s">
        <v>1798</v>
      </c>
      <c r="S353" s="17" t="s">
        <v>1879</v>
      </c>
      <c r="T353" s="17" t="s">
        <v>43</v>
      </c>
      <c r="U353" s="17">
        <v>307996</v>
      </c>
      <c r="V353" s="17" t="str">
        <f t="shared" si="13"/>
        <v>01/27/2021</v>
      </c>
      <c r="W353" s="17" t="s">
        <v>44</v>
      </c>
      <c r="X353" s="17" t="s">
        <v>1880</v>
      </c>
    </row>
    <row r="354" spans="1:24" s="17" customFormat="1" hidden="1" x14ac:dyDescent="0.25">
      <c r="A354" s="17" t="s">
        <v>24</v>
      </c>
      <c r="B354" s="17" t="s">
        <v>1792</v>
      </c>
      <c r="C354" s="17" t="s">
        <v>1881</v>
      </c>
      <c r="D354" s="17" t="s">
        <v>35</v>
      </c>
      <c r="E354" s="17" t="s">
        <v>26</v>
      </c>
      <c r="F354" s="17" t="s">
        <v>26</v>
      </c>
      <c r="G354" s="18" t="s">
        <v>37</v>
      </c>
      <c r="H354" s="18" t="s">
        <v>28</v>
      </c>
      <c r="I354" s="18" t="s">
        <v>52</v>
      </c>
      <c r="J354" s="18" t="str">
        <f t="shared" si="12"/>
        <v>2019</v>
      </c>
      <c r="K354" s="18"/>
      <c r="L354" s="18"/>
      <c r="M354" s="19"/>
      <c r="O354" s="17" t="s">
        <v>1882</v>
      </c>
      <c r="P354" s="17" t="s">
        <v>1883</v>
      </c>
      <c r="Q354" s="17" t="s">
        <v>1797</v>
      </c>
      <c r="R354" s="17" t="s">
        <v>1798</v>
      </c>
      <c r="S354" s="17" t="s">
        <v>1884</v>
      </c>
      <c r="T354" s="17" t="s">
        <v>43</v>
      </c>
      <c r="U354" s="17">
        <v>307966</v>
      </c>
      <c r="V354" s="17" t="str">
        <f t="shared" si="13"/>
        <v>10/25/2019</v>
      </c>
      <c r="W354" s="17" t="s">
        <v>44</v>
      </c>
    </row>
    <row r="355" spans="1:24" s="17" customFormat="1" hidden="1" x14ac:dyDescent="0.25">
      <c r="A355" s="17" t="s">
        <v>24</v>
      </c>
      <c r="B355" s="17" t="s">
        <v>1792</v>
      </c>
      <c r="C355" s="17" t="s">
        <v>1885</v>
      </c>
      <c r="D355" s="17" t="s">
        <v>35</v>
      </c>
      <c r="E355" s="17" t="s">
        <v>26</v>
      </c>
      <c r="F355" s="17" t="s">
        <v>26</v>
      </c>
      <c r="G355" s="18" t="s">
        <v>37</v>
      </c>
      <c r="H355" s="18" t="s">
        <v>28</v>
      </c>
      <c r="I355" s="18" t="s">
        <v>52</v>
      </c>
      <c r="J355" s="18" t="str">
        <f t="shared" si="12"/>
        <v>2019</v>
      </c>
      <c r="K355" s="18"/>
      <c r="L355" s="18"/>
      <c r="M355" s="19"/>
      <c r="O355" s="17" t="s">
        <v>1886</v>
      </c>
      <c r="P355" s="17" t="s">
        <v>1887</v>
      </c>
      <c r="Q355" s="17" t="s">
        <v>1797</v>
      </c>
      <c r="R355" s="17" t="s">
        <v>1798</v>
      </c>
      <c r="S355" s="17" t="s">
        <v>1888</v>
      </c>
      <c r="T355" s="17" t="s">
        <v>43</v>
      </c>
      <c r="U355" s="17">
        <v>307967</v>
      </c>
      <c r="V355" s="17" t="str">
        <f t="shared" si="13"/>
        <v>10/25/2019</v>
      </c>
      <c r="W355" s="17" t="s">
        <v>44</v>
      </c>
      <c r="X355" s="17" t="s">
        <v>1889</v>
      </c>
    </row>
    <row r="356" spans="1:24" s="17" customFormat="1" hidden="1" x14ac:dyDescent="0.25">
      <c r="A356" s="17" t="s">
        <v>24</v>
      </c>
      <c r="B356" s="17" t="s">
        <v>1792</v>
      </c>
      <c r="C356" s="17" t="s">
        <v>1890</v>
      </c>
      <c r="D356" s="17" t="s">
        <v>35</v>
      </c>
      <c r="E356" s="17" t="s">
        <v>26</v>
      </c>
      <c r="F356" s="17" t="s">
        <v>26</v>
      </c>
      <c r="G356" s="18" t="s">
        <v>37</v>
      </c>
      <c r="H356" s="18" t="s">
        <v>28</v>
      </c>
      <c r="I356" s="18" t="s">
        <v>52</v>
      </c>
      <c r="J356" s="18" t="str">
        <f t="shared" si="12"/>
        <v>2019</v>
      </c>
      <c r="K356" s="18"/>
      <c r="L356" s="18"/>
      <c r="M356" s="19"/>
      <c r="O356" s="17" t="s">
        <v>1891</v>
      </c>
      <c r="P356" s="17" t="s">
        <v>1892</v>
      </c>
      <c r="Q356" s="17" t="s">
        <v>1797</v>
      </c>
      <c r="R356" s="17" t="s">
        <v>1798</v>
      </c>
      <c r="S356" s="17" t="s">
        <v>1893</v>
      </c>
      <c r="T356" s="17" t="s">
        <v>43</v>
      </c>
      <c r="U356" s="17">
        <v>307968</v>
      </c>
      <c r="V356" s="17" t="str">
        <f t="shared" si="13"/>
        <v>10/25/2019</v>
      </c>
      <c r="W356" s="17" t="s">
        <v>44</v>
      </c>
      <c r="X356" s="17" t="s">
        <v>1894</v>
      </c>
    </row>
    <row r="357" spans="1:24" s="17" customFormat="1" hidden="1" x14ac:dyDescent="0.25">
      <c r="A357" s="17" t="s">
        <v>24</v>
      </c>
      <c r="B357" s="17" t="s">
        <v>1792</v>
      </c>
      <c r="C357" s="17" t="s">
        <v>1895</v>
      </c>
      <c r="D357" s="17" t="s">
        <v>35</v>
      </c>
      <c r="E357" s="17" t="s">
        <v>26</v>
      </c>
      <c r="F357" s="17" t="s">
        <v>26</v>
      </c>
      <c r="G357" s="18" t="s">
        <v>37</v>
      </c>
      <c r="H357" s="18" t="s">
        <v>28</v>
      </c>
      <c r="I357" s="18" t="s">
        <v>52</v>
      </c>
      <c r="J357" s="18" t="str">
        <f t="shared" si="12"/>
        <v>2019</v>
      </c>
      <c r="K357" s="18"/>
      <c r="L357" s="18"/>
      <c r="M357" s="19"/>
      <c r="O357" s="17" t="s">
        <v>1896</v>
      </c>
      <c r="P357" s="17" t="s">
        <v>1897</v>
      </c>
      <c r="Q357" s="17" t="s">
        <v>1797</v>
      </c>
      <c r="R357" s="17" t="s">
        <v>1798</v>
      </c>
      <c r="S357" s="17" t="s">
        <v>1898</v>
      </c>
      <c r="T357" s="17" t="s">
        <v>43</v>
      </c>
      <c r="U357" s="17">
        <v>307970</v>
      </c>
      <c r="V357" s="17" t="str">
        <f t="shared" si="13"/>
        <v>10/25/2019</v>
      </c>
      <c r="W357" s="17" t="s">
        <v>44</v>
      </c>
    </row>
    <row r="358" spans="1:24" s="17" customFormat="1" hidden="1" x14ac:dyDescent="0.25">
      <c r="A358" s="17" t="s">
        <v>24</v>
      </c>
      <c r="B358" s="17" t="s">
        <v>1792</v>
      </c>
      <c r="C358" s="17" t="s">
        <v>679</v>
      </c>
      <c r="D358" s="17" t="s">
        <v>35</v>
      </c>
      <c r="E358" s="17" t="s">
        <v>26</v>
      </c>
      <c r="F358" s="17" t="s">
        <v>26</v>
      </c>
      <c r="G358" s="18" t="s">
        <v>37</v>
      </c>
      <c r="H358" s="18" t="s">
        <v>28</v>
      </c>
      <c r="I358" s="18" t="s">
        <v>52</v>
      </c>
      <c r="J358" s="18" t="str">
        <f t="shared" si="12"/>
        <v>2019</v>
      </c>
      <c r="K358" s="18"/>
      <c r="L358" s="18"/>
      <c r="M358" s="19"/>
      <c r="O358" s="17" t="s">
        <v>1899</v>
      </c>
      <c r="P358" s="17" t="s">
        <v>1900</v>
      </c>
      <c r="Q358" s="17" t="s">
        <v>1797</v>
      </c>
      <c r="R358" s="17" t="s">
        <v>1798</v>
      </c>
      <c r="S358" s="17" t="s">
        <v>1901</v>
      </c>
      <c r="T358" s="17" t="s">
        <v>43</v>
      </c>
      <c r="U358" s="17">
        <v>307972</v>
      </c>
      <c r="V358" s="17" t="str">
        <f t="shared" si="13"/>
        <v>10/25/2019</v>
      </c>
      <c r="W358" s="17" t="s">
        <v>44</v>
      </c>
    </row>
    <row r="359" spans="1:24" s="17" customFormat="1" hidden="1" x14ac:dyDescent="0.25">
      <c r="A359" s="17" t="s">
        <v>24</v>
      </c>
      <c r="B359" s="17" t="s">
        <v>1792</v>
      </c>
      <c r="C359" s="17" t="s">
        <v>1902</v>
      </c>
      <c r="D359" s="17" t="s">
        <v>35</v>
      </c>
      <c r="E359" s="17" t="s">
        <v>26</v>
      </c>
      <c r="F359" s="17" t="s">
        <v>26</v>
      </c>
      <c r="G359" s="18" t="s">
        <v>37</v>
      </c>
      <c r="H359" s="18" t="s">
        <v>28</v>
      </c>
      <c r="I359" s="18" t="s">
        <v>52</v>
      </c>
      <c r="J359" s="18" t="str">
        <f t="shared" si="12"/>
        <v>2019</v>
      </c>
      <c r="K359" s="18"/>
      <c r="L359" s="18"/>
      <c r="M359" s="19"/>
      <c r="O359" s="17" t="s">
        <v>1903</v>
      </c>
      <c r="P359" s="17" t="s">
        <v>1904</v>
      </c>
      <c r="Q359" s="17" t="s">
        <v>1797</v>
      </c>
      <c r="R359" s="17" t="s">
        <v>1798</v>
      </c>
      <c r="S359" s="17" t="s">
        <v>1905</v>
      </c>
      <c r="T359" s="17" t="s">
        <v>43</v>
      </c>
      <c r="U359" s="17">
        <v>307975</v>
      </c>
      <c r="V359" s="17" t="str">
        <f t="shared" si="13"/>
        <v>10/25/2019</v>
      </c>
      <c r="W359" s="17" t="s">
        <v>44</v>
      </c>
    </row>
    <row r="360" spans="1:24" s="17" customFormat="1" hidden="1" x14ac:dyDescent="0.25">
      <c r="A360" s="17" t="s">
        <v>24</v>
      </c>
      <c r="B360" s="17" t="s">
        <v>1792</v>
      </c>
      <c r="C360" s="17" t="s">
        <v>1906</v>
      </c>
      <c r="D360" s="17" t="s">
        <v>35</v>
      </c>
      <c r="E360" s="17" t="s">
        <v>26</v>
      </c>
      <c r="F360" s="17" t="s">
        <v>26</v>
      </c>
      <c r="G360" s="18" t="s">
        <v>37</v>
      </c>
      <c r="H360" s="18" t="s">
        <v>28</v>
      </c>
      <c r="I360" s="18" t="s">
        <v>1907</v>
      </c>
      <c r="J360" s="18" t="str">
        <f t="shared" si="12"/>
        <v>2019</v>
      </c>
      <c r="K360" s="18"/>
      <c r="L360" s="18"/>
      <c r="M360" s="19"/>
      <c r="O360" s="17" t="s">
        <v>1908</v>
      </c>
      <c r="P360" s="17" t="s">
        <v>1909</v>
      </c>
      <c r="Q360" s="17" t="s">
        <v>1797</v>
      </c>
      <c r="R360" s="17" t="s">
        <v>1798</v>
      </c>
      <c r="S360" s="17" t="s">
        <v>1910</v>
      </c>
      <c r="T360" s="17" t="s">
        <v>43</v>
      </c>
      <c r="U360" s="17">
        <v>307984</v>
      </c>
      <c r="V360" s="17" t="str">
        <f t="shared" si="13"/>
        <v>11/12/2019</v>
      </c>
      <c r="W360" s="17" t="s">
        <v>44</v>
      </c>
      <c r="X360" s="17" t="s">
        <v>1911</v>
      </c>
    </row>
    <row r="361" spans="1:24" s="17" customFormat="1" hidden="1" x14ac:dyDescent="0.25">
      <c r="A361" s="17" t="s">
        <v>24</v>
      </c>
      <c r="B361" s="17" t="s">
        <v>1367</v>
      </c>
      <c r="C361" s="17" t="s">
        <v>1912</v>
      </c>
      <c r="D361" s="17" t="s">
        <v>35</v>
      </c>
      <c r="E361" s="17" t="s">
        <v>26</v>
      </c>
      <c r="F361" s="17" t="s">
        <v>26</v>
      </c>
      <c r="G361" s="18" t="s">
        <v>27</v>
      </c>
      <c r="H361" s="18" t="s">
        <v>28</v>
      </c>
      <c r="I361" s="18" t="s">
        <v>1913</v>
      </c>
      <c r="J361" s="18" t="str">
        <f t="shared" si="12"/>
        <v>2024</v>
      </c>
      <c r="K361" s="18" t="s">
        <v>1914</v>
      </c>
      <c r="L361" s="18"/>
      <c r="M361" s="19"/>
      <c r="O361" s="17" t="s">
        <v>1915</v>
      </c>
      <c r="P361" s="17" t="s">
        <v>1916</v>
      </c>
      <c r="Q361" s="17" t="s">
        <v>1374</v>
      </c>
      <c r="R361" s="17" t="s">
        <v>1375</v>
      </c>
      <c r="S361" s="17" t="s">
        <v>1917</v>
      </c>
      <c r="T361" s="17" t="s">
        <v>43</v>
      </c>
      <c r="U361" s="17">
        <v>17231888</v>
      </c>
      <c r="V361" s="17" t="str">
        <f t="shared" si="13"/>
        <v>06/05/2024</v>
      </c>
      <c r="W361" s="17" t="s">
        <v>44</v>
      </c>
    </row>
    <row r="362" spans="1:24" s="17" customFormat="1" x14ac:dyDescent="0.25">
      <c r="A362" s="17" t="s">
        <v>24</v>
      </c>
      <c r="B362" s="17" t="s">
        <v>1367</v>
      </c>
      <c r="C362" s="17" t="s">
        <v>1918</v>
      </c>
      <c r="D362" s="17" t="s">
        <v>35</v>
      </c>
      <c r="E362" s="17" t="s">
        <v>26</v>
      </c>
      <c r="F362" s="17" t="s">
        <v>28</v>
      </c>
      <c r="G362" s="18"/>
      <c r="H362" s="18"/>
      <c r="I362" s="18" t="s">
        <v>36</v>
      </c>
      <c r="J362" s="18" t="str">
        <f t="shared" si="12"/>
        <v>2019</v>
      </c>
      <c r="K362" s="18"/>
      <c r="L362" s="18" t="s">
        <v>37</v>
      </c>
      <c r="M362" s="19" t="s">
        <v>1919</v>
      </c>
      <c r="O362" s="17" t="s">
        <v>1920</v>
      </c>
      <c r="P362" s="17" t="s">
        <v>1921</v>
      </c>
      <c r="Q362" s="17" t="s">
        <v>1374</v>
      </c>
      <c r="R362" s="17" t="s">
        <v>1375</v>
      </c>
      <c r="S362" s="17" t="s">
        <v>1922</v>
      </c>
      <c r="T362" s="17" t="s">
        <v>43</v>
      </c>
      <c r="U362" s="17">
        <v>17231689</v>
      </c>
      <c r="V362" s="17" t="str">
        <f t="shared" si="13"/>
        <v>09/26/2019</v>
      </c>
      <c r="W362" s="17" t="s">
        <v>44</v>
      </c>
    </row>
    <row r="363" spans="1:24" s="17" customFormat="1" x14ac:dyDescent="0.25">
      <c r="A363" s="17" t="s">
        <v>24</v>
      </c>
      <c r="B363" s="17" t="s">
        <v>1367</v>
      </c>
      <c r="C363" s="17" t="s">
        <v>1923</v>
      </c>
      <c r="D363" s="17" t="s">
        <v>35</v>
      </c>
      <c r="E363" s="17" t="s">
        <v>26</v>
      </c>
      <c r="F363" s="17" t="s">
        <v>28</v>
      </c>
      <c r="G363" s="18"/>
      <c r="H363" s="18"/>
      <c r="I363" s="18" t="s">
        <v>36</v>
      </c>
      <c r="J363" s="18" t="str">
        <f t="shared" si="12"/>
        <v>2019</v>
      </c>
      <c r="K363" s="18"/>
      <c r="L363" s="18" t="s">
        <v>37</v>
      </c>
      <c r="M363" s="19" t="s">
        <v>37</v>
      </c>
      <c r="O363" s="17" t="s">
        <v>1924</v>
      </c>
      <c r="P363" s="17" t="s">
        <v>1925</v>
      </c>
      <c r="Q363" s="17" t="s">
        <v>1374</v>
      </c>
      <c r="R363" s="17" t="s">
        <v>1375</v>
      </c>
      <c r="S363" s="17" t="s">
        <v>1926</v>
      </c>
      <c r="T363" s="17" t="s">
        <v>43</v>
      </c>
      <c r="U363" s="17">
        <v>17231688</v>
      </c>
      <c r="V363" s="17" t="str">
        <f t="shared" si="13"/>
        <v>09/26/2019</v>
      </c>
      <c r="W363" s="17" t="s">
        <v>44</v>
      </c>
      <c r="X363" s="17" t="s">
        <v>1927</v>
      </c>
    </row>
    <row r="364" spans="1:24" s="17" customFormat="1" x14ac:dyDescent="0.25">
      <c r="A364" s="17" t="s">
        <v>24</v>
      </c>
      <c r="B364" s="17" t="s">
        <v>1367</v>
      </c>
      <c r="C364" s="17" t="s">
        <v>1928</v>
      </c>
      <c r="D364" s="17" t="s">
        <v>35</v>
      </c>
      <c r="E364" s="17" t="s">
        <v>26</v>
      </c>
      <c r="F364" s="17" t="s">
        <v>28</v>
      </c>
      <c r="G364" s="18"/>
      <c r="H364" s="18"/>
      <c r="I364" s="18" t="s">
        <v>36</v>
      </c>
      <c r="J364" s="18" t="str">
        <f t="shared" si="12"/>
        <v>2019</v>
      </c>
      <c r="K364" s="18"/>
      <c r="L364" s="18" t="s">
        <v>37</v>
      </c>
      <c r="M364" s="19" t="s">
        <v>1352</v>
      </c>
      <c r="O364" s="17" t="s">
        <v>1929</v>
      </c>
      <c r="P364" s="17" t="s">
        <v>1930</v>
      </c>
      <c r="Q364" s="17" t="s">
        <v>1374</v>
      </c>
      <c r="R364" s="17" t="s">
        <v>1375</v>
      </c>
      <c r="S364" s="17" t="s">
        <v>1931</v>
      </c>
      <c r="T364" s="17" t="s">
        <v>43</v>
      </c>
      <c r="U364" s="17">
        <v>17231691</v>
      </c>
      <c r="V364" s="17" t="str">
        <f t="shared" si="13"/>
        <v>09/26/2019</v>
      </c>
      <c r="W364" s="17" t="s">
        <v>44</v>
      </c>
      <c r="X364" s="17" t="s">
        <v>1932</v>
      </c>
    </row>
    <row r="365" spans="1:24" s="17" customFormat="1" x14ac:dyDescent="0.25">
      <c r="A365" s="17" t="s">
        <v>24</v>
      </c>
      <c r="B365" s="17" t="s">
        <v>1367</v>
      </c>
      <c r="C365" s="17" t="s">
        <v>1933</v>
      </c>
      <c r="D365" s="17" t="s">
        <v>35</v>
      </c>
      <c r="E365" s="17" t="s">
        <v>26</v>
      </c>
      <c r="F365" s="17" t="s">
        <v>28</v>
      </c>
      <c r="G365" s="18"/>
      <c r="H365" s="18"/>
      <c r="I365" s="18" t="s">
        <v>36</v>
      </c>
      <c r="J365" s="18" t="str">
        <f t="shared" si="12"/>
        <v>2019</v>
      </c>
      <c r="K365" s="18"/>
      <c r="L365" s="18" t="s">
        <v>37</v>
      </c>
      <c r="M365" s="19" t="s">
        <v>37</v>
      </c>
      <c r="O365" s="17" t="s">
        <v>1934</v>
      </c>
      <c r="P365" s="17" t="s">
        <v>1935</v>
      </c>
      <c r="Q365" s="17" t="s">
        <v>1374</v>
      </c>
      <c r="R365" s="17" t="s">
        <v>1375</v>
      </c>
      <c r="S365" s="17" t="s">
        <v>1936</v>
      </c>
      <c r="T365" s="17" t="s">
        <v>43</v>
      </c>
      <c r="U365" s="17">
        <v>17231690</v>
      </c>
      <c r="V365" s="17" t="str">
        <f t="shared" si="13"/>
        <v>09/26/2019</v>
      </c>
      <c r="W365" s="17" t="s">
        <v>44</v>
      </c>
      <c r="X365" s="17" t="s">
        <v>1937</v>
      </c>
    </row>
    <row r="366" spans="1:24" s="17" customFormat="1" x14ac:dyDescent="0.25">
      <c r="A366" s="17" t="s">
        <v>24</v>
      </c>
      <c r="B366" s="17" t="s">
        <v>1367</v>
      </c>
      <c r="C366" s="17" t="s">
        <v>1938</v>
      </c>
      <c r="D366" s="17" t="s">
        <v>35</v>
      </c>
      <c r="E366" s="17" t="s">
        <v>26</v>
      </c>
      <c r="F366" s="17" t="s">
        <v>28</v>
      </c>
      <c r="G366" s="18"/>
      <c r="H366" s="18"/>
      <c r="I366" s="18" t="s">
        <v>36</v>
      </c>
      <c r="J366" s="18" t="str">
        <f t="shared" si="12"/>
        <v>2019</v>
      </c>
      <c r="K366" s="18"/>
      <c r="L366" s="18" t="s">
        <v>37</v>
      </c>
      <c r="M366" s="19" t="s">
        <v>1352</v>
      </c>
      <c r="O366" s="17" t="s">
        <v>1939</v>
      </c>
      <c r="P366" s="17" t="s">
        <v>1940</v>
      </c>
      <c r="Q366" s="17" t="s">
        <v>1374</v>
      </c>
      <c r="R366" s="17" t="s">
        <v>1375</v>
      </c>
      <c r="S366" s="17" t="s">
        <v>1941</v>
      </c>
      <c r="T366" s="17" t="s">
        <v>43</v>
      </c>
      <c r="U366" s="17">
        <v>17231694</v>
      </c>
      <c r="V366" s="17" t="str">
        <f t="shared" si="13"/>
        <v>09/26/2019</v>
      </c>
      <c r="W366" s="17" t="s">
        <v>44</v>
      </c>
      <c r="X366" s="17" t="s">
        <v>1942</v>
      </c>
    </row>
    <row r="367" spans="1:24" s="17" customFormat="1" x14ac:dyDescent="0.25">
      <c r="A367" s="17" t="s">
        <v>24</v>
      </c>
      <c r="B367" s="17" t="s">
        <v>1367</v>
      </c>
      <c r="C367" s="17" t="s">
        <v>1943</v>
      </c>
      <c r="D367" s="17" t="s">
        <v>35</v>
      </c>
      <c r="E367" s="17" t="s">
        <v>26</v>
      </c>
      <c r="F367" s="17" t="s">
        <v>28</v>
      </c>
      <c r="G367" s="18"/>
      <c r="H367" s="18"/>
      <c r="I367" s="18" t="s">
        <v>36</v>
      </c>
      <c r="J367" s="18" t="str">
        <f t="shared" si="12"/>
        <v>2019</v>
      </c>
      <c r="K367" s="18"/>
      <c r="L367" s="18" t="s">
        <v>37</v>
      </c>
      <c r="M367" s="19" t="s">
        <v>37</v>
      </c>
      <c r="O367" s="17" t="s">
        <v>1944</v>
      </c>
      <c r="P367" s="17" t="s">
        <v>1945</v>
      </c>
      <c r="Q367" s="17" t="s">
        <v>1374</v>
      </c>
      <c r="R367" s="17" t="s">
        <v>1375</v>
      </c>
      <c r="S367" s="17" t="s">
        <v>1946</v>
      </c>
      <c r="T367" s="17" t="s">
        <v>43</v>
      </c>
      <c r="U367" s="17">
        <v>17231693</v>
      </c>
      <c r="V367" s="17" t="str">
        <f t="shared" si="13"/>
        <v>09/26/2019</v>
      </c>
      <c r="W367" s="17" t="s">
        <v>44</v>
      </c>
    </row>
    <row r="368" spans="1:24" s="17" customFormat="1" x14ac:dyDescent="0.25">
      <c r="A368" s="17" t="s">
        <v>24</v>
      </c>
      <c r="B368" s="17" t="s">
        <v>1367</v>
      </c>
      <c r="C368" s="17" t="s">
        <v>1947</v>
      </c>
      <c r="D368" s="17" t="s">
        <v>35</v>
      </c>
      <c r="E368" s="17" t="s">
        <v>26</v>
      </c>
      <c r="F368" s="17" t="s">
        <v>28</v>
      </c>
      <c r="G368" s="18"/>
      <c r="H368" s="18"/>
      <c r="I368" s="18" t="s">
        <v>36</v>
      </c>
      <c r="J368" s="18" t="str">
        <f t="shared" si="12"/>
        <v>2019</v>
      </c>
      <c r="K368" s="18"/>
      <c r="L368" s="18" t="s">
        <v>37</v>
      </c>
      <c r="M368" s="19" t="s">
        <v>1948</v>
      </c>
      <c r="O368" s="17" t="s">
        <v>1949</v>
      </c>
      <c r="P368" s="17" t="s">
        <v>1950</v>
      </c>
      <c r="Q368" s="17" t="s">
        <v>1374</v>
      </c>
      <c r="R368" s="17" t="s">
        <v>1375</v>
      </c>
      <c r="S368" s="17" t="s">
        <v>1951</v>
      </c>
      <c r="T368" s="17" t="s">
        <v>43</v>
      </c>
      <c r="U368" s="17">
        <v>17231695</v>
      </c>
      <c r="V368" s="17" t="str">
        <f t="shared" si="13"/>
        <v>09/26/2019</v>
      </c>
      <c r="W368" s="17" t="s">
        <v>44</v>
      </c>
    </row>
    <row r="369" spans="1:24" s="17" customFormat="1" x14ac:dyDescent="0.25">
      <c r="A369" s="17" t="s">
        <v>24</v>
      </c>
      <c r="B369" s="17" t="s">
        <v>1367</v>
      </c>
      <c r="C369" s="17" t="s">
        <v>1952</v>
      </c>
      <c r="D369" s="17" t="s">
        <v>35</v>
      </c>
      <c r="E369" s="17" t="s">
        <v>26</v>
      </c>
      <c r="F369" s="17" t="s">
        <v>28</v>
      </c>
      <c r="G369" s="18"/>
      <c r="H369" s="18"/>
      <c r="I369" s="18" t="s">
        <v>36</v>
      </c>
      <c r="J369" s="18" t="str">
        <f t="shared" si="12"/>
        <v>2019</v>
      </c>
      <c r="K369" s="18"/>
      <c r="L369" s="18" t="s">
        <v>37</v>
      </c>
      <c r="M369" s="19" t="s">
        <v>312</v>
      </c>
      <c r="O369" s="17" t="s">
        <v>1953</v>
      </c>
      <c r="P369" s="17" t="s">
        <v>1954</v>
      </c>
      <c r="Q369" s="17" t="s">
        <v>1374</v>
      </c>
      <c r="R369" s="17" t="s">
        <v>1375</v>
      </c>
      <c r="S369" s="17" t="s">
        <v>1955</v>
      </c>
      <c r="T369" s="17" t="s">
        <v>43</v>
      </c>
      <c r="U369" s="17">
        <v>17231704</v>
      </c>
      <c r="V369" s="17" t="str">
        <f t="shared" si="13"/>
        <v>09/26/2019</v>
      </c>
      <c r="W369" s="17" t="s">
        <v>44</v>
      </c>
      <c r="X369" s="17" t="s">
        <v>1956</v>
      </c>
    </row>
    <row r="370" spans="1:24" s="17" customFormat="1" x14ac:dyDescent="0.25">
      <c r="A370" s="17" t="s">
        <v>24</v>
      </c>
      <c r="B370" s="17" t="s">
        <v>1367</v>
      </c>
      <c r="C370" s="17" t="s">
        <v>1957</v>
      </c>
      <c r="D370" s="17" t="s">
        <v>35</v>
      </c>
      <c r="E370" s="17" t="s">
        <v>26</v>
      </c>
      <c r="F370" s="17" t="s">
        <v>28</v>
      </c>
      <c r="G370" s="18"/>
      <c r="H370" s="18"/>
      <c r="I370" s="18" t="s">
        <v>36</v>
      </c>
      <c r="J370" s="18" t="str">
        <f t="shared" si="12"/>
        <v>2019</v>
      </c>
      <c r="K370" s="18"/>
      <c r="L370" s="18" t="s">
        <v>37</v>
      </c>
      <c r="M370" s="19" t="s">
        <v>37</v>
      </c>
      <c r="O370" s="17" t="s">
        <v>1958</v>
      </c>
      <c r="P370" s="17" t="s">
        <v>1959</v>
      </c>
      <c r="Q370" s="17" t="s">
        <v>1374</v>
      </c>
      <c r="R370" s="17" t="s">
        <v>1375</v>
      </c>
      <c r="S370" s="17" t="s">
        <v>1960</v>
      </c>
      <c r="T370" s="17" t="s">
        <v>43</v>
      </c>
      <c r="U370" s="17">
        <v>17231696</v>
      </c>
      <c r="V370" s="17" t="str">
        <f t="shared" si="13"/>
        <v>09/26/2019</v>
      </c>
      <c r="W370" s="17" t="s">
        <v>44</v>
      </c>
      <c r="X370" s="17" t="s">
        <v>1961</v>
      </c>
    </row>
    <row r="371" spans="1:24" s="17" customFormat="1" hidden="1" x14ac:dyDescent="0.25">
      <c r="A371" s="17" t="s">
        <v>24</v>
      </c>
      <c r="B371" s="17" t="s">
        <v>1367</v>
      </c>
      <c r="C371" s="17" t="s">
        <v>1962</v>
      </c>
      <c r="D371" s="17" t="s">
        <v>107</v>
      </c>
      <c r="E371" s="17" t="s">
        <v>26</v>
      </c>
      <c r="F371" s="17" t="s">
        <v>26</v>
      </c>
      <c r="G371" s="18" t="s">
        <v>27</v>
      </c>
      <c r="H371" s="18" t="s">
        <v>28</v>
      </c>
      <c r="I371" s="18" t="s">
        <v>1963</v>
      </c>
      <c r="J371" s="18" t="str">
        <f t="shared" si="12"/>
        <v>2023</v>
      </c>
      <c r="K371" s="18"/>
      <c r="L371" s="18"/>
      <c r="M371" s="19"/>
      <c r="O371" s="17" t="s">
        <v>1964</v>
      </c>
      <c r="P371" s="17" t="s">
        <v>1965</v>
      </c>
      <c r="Q371" s="17" t="s">
        <v>1374</v>
      </c>
      <c r="R371" s="17" t="s">
        <v>1375</v>
      </c>
      <c r="S371" s="17" t="s">
        <v>1966</v>
      </c>
      <c r="T371" s="17" t="s">
        <v>43</v>
      </c>
      <c r="U371" s="17">
        <v>17231870</v>
      </c>
      <c r="V371" s="17" t="str">
        <f t="shared" si="13"/>
        <v>01/11/2023</v>
      </c>
      <c r="W371" s="17" t="s">
        <v>44</v>
      </c>
    </row>
    <row r="372" spans="1:24" s="17" customFormat="1" x14ac:dyDescent="0.25">
      <c r="A372" s="17" t="s">
        <v>24</v>
      </c>
      <c r="B372" s="17" t="s">
        <v>1367</v>
      </c>
      <c r="C372" s="17" t="s">
        <v>1967</v>
      </c>
      <c r="D372" s="17" t="s">
        <v>35</v>
      </c>
      <c r="E372" s="17" t="s">
        <v>26</v>
      </c>
      <c r="F372" s="17" t="s">
        <v>28</v>
      </c>
      <c r="G372" s="18"/>
      <c r="H372" s="18"/>
      <c r="I372" s="18" t="s">
        <v>36</v>
      </c>
      <c r="J372" s="18" t="str">
        <f t="shared" si="12"/>
        <v>2019</v>
      </c>
      <c r="K372" s="18"/>
      <c r="L372" s="18" t="s">
        <v>37</v>
      </c>
      <c r="M372" s="19" t="s">
        <v>37</v>
      </c>
      <c r="O372" s="17" t="s">
        <v>1968</v>
      </c>
      <c r="P372" s="17" t="s">
        <v>1969</v>
      </c>
      <c r="Q372" s="17" t="s">
        <v>1374</v>
      </c>
      <c r="R372" s="17" t="s">
        <v>1375</v>
      </c>
      <c r="S372" s="17" t="s">
        <v>1970</v>
      </c>
      <c r="T372" s="17" t="s">
        <v>43</v>
      </c>
      <c r="U372" s="17">
        <v>17231698</v>
      </c>
      <c r="V372" s="17" t="str">
        <f t="shared" si="13"/>
        <v>09/26/2019</v>
      </c>
      <c r="W372" s="17" t="s">
        <v>44</v>
      </c>
      <c r="X372" s="17" t="s">
        <v>1971</v>
      </c>
    </row>
    <row r="373" spans="1:24" s="17" customFormat="1" x14ac:dyDescent="0.25">
      <c r="A373" s="17" t="s">
        <v>24</v>
      </c>
      <c r="B373" s="17" t="s">
        <v>1367</v>
      </c>
      <c r="C373" s="17" t="s">
        <v>1972</v>
      </c>
      <c r="D373" s="17" t="s">
        <v>35</v>
      </c>
      <c r="E373" s="17" t="s">
        <v>26</v>
      </c>
      <c r="F373" s="17" t="s">
        <v>28</v>
      </c>
      <c r="G373" s="18"/>
      <c r="H373" s="18"/>
      <c r="I373" s="18" t="s">
        <v>36</v>
      </c>
      <c r="J373" s="18" t="str">
        <f t="shared" si="12"/>
        <v>2019</v>
      </c>
      <c r="K373" s="18"/>
      <c r="L373" s="18" t="s">
        <v>37</v>
      </c>
      <c r="M373" s="19" t="s">
        <v>37</v>
      </c>
      <c r="O373" s="17" t="s">
        <v>1973</v>
      </c>
      <c r="P373" s="17" t="s">
        <v>1974</v>
      </c>
      <c r="Q373" s="17" t="s">
        <v>1374</v>
      </c>
      <c r="R373" s="17" t="s">
        <v>1375</v>
      </c>
      <c r="S373" s="17" t="s">
        <v>1975</v>
      </c>
      <c r="T373" s="17" t="s">
        <v>43</v>
      </c>
      <c r="U373" s="17">
        <v>17231699</v>
      </c>
      <c r="V373" s="17" t="str">
        <f t="shared" si="13"/>
        <v>09/26/2019</v>
      </c>
      <c r="W373" s="17" t="s">
        <v>44</v>
      </c>
      <c r="X373" s="17" t="s">
        <v>1976</v>
      </c>
    </row>
    <row r="374" spans="1:24" s="17" customFormat="1" x14ac:dyDescent="0.25">
      <c r="A374" s="17" t="s">
        <v>24</v>
      </c>
      <c r="B374" s="17" t="s">
        <v>1367</v>
      </c>
      <c r="C374" s="17" t="s">
        <v>1977</v>
      </c>
      <c r="D374" s="17" t="s">
        <v>35</v>
      </c>
      <c r="E374" s="17" t="s">
        <v>26</v>
      </c>
      <c r="F374" s="17" t="s">
        <v>28</v>
      </c>
      <c r="G374" s="18"/>
      <c r="H374" s="18"/>
      <c r="I374" s="18" t="s">
        <v>36</v>
      </c>
      <c r="J374" s="18" t="str">
        <f t="shared" si="12"/>
        <v>2019</v>
      </c>
      <c r="K374" s="18"/>
      <c r="L374" s="18" t="s">
        <v>37</v>
      </c>
      <c r="M374" s="19" t="s">
        <v>37</v>
      </c>
      <c r="O374" s="17" t="s">
        <v>1978</v>
      </c>
      <c r="P374" s="17" t="s">
        <v>1979</v>
      </c>
      <c r="Q374" s="17" t="s">
        <v>1374</v>
      </c>
      <c r="R374" s="17" t="s">
        <v>1375</v>
      </c>
      <c r="S374" s="17" t="s">
        <v>1980</v>
      </c>
      <c r="T374" s="17" t="s">
        <v>43</v>
      </c>
      <c r="U374" s="17">
        <v>17231701</v>
      </c>
      <c r="V374" s="17" t="str">
        <f t="shared" si="13"/>
        <v>09/26/2019</v>
      </c>
      <c r="W374" s="17" t="s">
        <v>44</v>
      </c>
      <c r="X374" s="17" t="s">
        <v>1981</v>
      </c>
    </row>
    <row r="375" spans="1:24" s="17" customFormat="1" x14ac:dyDescent="0.25">
      <c r="A375" s="17" t="s">
        <v>24</v>
      </c>
      <c r="B375" s="17" t="s">
        <v>1367</v>
      </c>
      <c r="C375" s="17" t="s">
        <v>1636</v>
      </c>
      <c r="D375" s="17" t="s">
        <v>35</v>
      </c>
      <c r="E375" s="17" t="s">
        <v>26</v>
      </c>
      <c r="F375" s="17" t="s">
        <v>28</v>
      </c>
      <c r="G375" s="18"/>
      <c r="H375" s="18"/>
      <c r="I375" s="18" t="s">
        <v>36</v>
      </c>
      <c r="J375" s="18" t="str">
        <f t="shared" si="12"/>
        <v>2019</v>
      </c>
      <c r="K375" s="18"/>
      <c r="L375" s="18" t="s">
        <v>37</v>
      </c>
      <c r="M375" s="19" t="s">
        <v>37</v>
      </c>
      <c r="O375" s="17" t="s">
        <v>1982</v>
      </c>
      <c r="P375" s="17" t="s">
        <v>1983</v>
      </c>
      <c r="Q375" s="17" t="s">
        <v>1374</v>
      </c>
      <c r="R375" s="17" t="s">
        <v>1375</v>
      </c>
      <c r="S375" s="17" t="s">
        <v>1984</v>
      </c>
      <c r="T375" s="17" t="s">
        <v>43</v>
      </c>
      <c r="U375" s="17">
        <v>17231702</v>
      </c>
      <c r="V375" s="17" t="str">
        <f t="shared" si="13"/>
        <v>09/26/2019</v>
      </c>
      <c r="W375" s="17" t="s">
        <v>44</v>
      </c>
      <c r="X375" s="17" t="s">
        <v>1985</v>
      </c>
    </row>
    <row r="376" spans="1:24" s="17" customFormat="1" x14ac:dyDescent="0.25">
      <c r="A376" s="17" t="s">
        <v>24</v>
      </c>
      <c r="B376" s="17" t="s">
        <v>1367</v>
      </c>
      <c r="C376" s="17" t="s">
        <v>1986</v>
      </c>
      <c r="D376" s="17" t="s">
        <v>35</v>
      </c>
      <c r="E376" s="17" t="s">
        <v>26</v>
      </c>
      <c r="F376" s="17" t="s">
        <v>28</v>
      </c>
      <c r="G376" s="18"/>
      <c r="H376" s="18"/>
      <c r="I376" s="18" t="s">
        <v>36</v>
      </c>
      <c r="J376" s="18" t="str">
        <f t="shared" si="12"/>
        <v>2019</v>
      </c>
      <c r="K376" s="18"/>
      <c r="L376" s="18" t="s">
        <v>37</v>
      </c>
      <c r="M376" s="19" t="s">
        <v>37</v>
      </c>
      <c r="O376" s="17" t="s">
        <v>1987</v>
      </c>
      <c r="P376" s="17" t="s">
        <v>1988</v>
      </c>
      <c r="Q376" s="17" t="s">
        <v>1374</v>
      </c>
      <c r="R376" s="17" t="s">
        <v>1375</v>
      </c>
      <c r="S376" s="17" t="s">
        <v>1989</v>
      </c>
      <c r="T376" s="17" t="s">
        <v>43</v>
      </c>
      <c r="U376" s="17">
        <v>17231703</v>
      </c>
      <c r="V376" s="17" t="str">
        <f t="shared" si="13"/>
        <v>09/26/2019</v>
      </c>
      <c r="W376" s="17" t="s">
        <v>44</v>
      </c>
      <c r="X376" s="17" t="s">
        <v>1990</v>
      </c>
    </row>
    <row r="377" spans="1:24" s="17" customFormat="1" x14ac:dyDescent="0.25">
      <c r="A377" s="17" t="s">
        <v>24</v>
      </c>
      <c r="B377" s="17" t="s">
        <v>1367</v>
      </c>
      <c r="C377" s="17" t="s">
        <v>1991</v>
      </c>
      <c r="D377" s="17" t="s">
        <v>35</v>
      </c>
      <c r="E377" s="17" t="s">
        <v>26</v>
      </c>
      <c r="F377" s="17" t="s">
        <v>28</v>
      </c>
      <c r="G377" s="18"/>
      <c r="H377" s="18"/>
      <c r="I377" s="18" t="s">
        <v>1992</v>
      </c>
      <c r="J377" s="18" t="str">
        <f t="shared" si="12"/>
        <v>2019</v>
      </c>
      <c r="K377" s="18" t="s">
        <v>1914</v>
      </c>
      <c r="L377" s="18" t="s">
        <v>37</v>
      </c>
      <c r="M377" s="19" t="s">
        <v>1993</v>
      </c>
      <c r="O377" s="17" t="s">
        <v>1994</v>
      </c>
      <c r="P377" s="17" t="s">
        <v>1995</v>
      </c>
      <c r="Q377" s="17" t="s">
        <v>1374</v>
      </c>
      <c r="R377" s="17" t="s">
        <v>1375</v>
      </c>
      <c r="S377" s="17" t="s">
        <v>1996</v>
      </c>
      <c r="T377" s="17" t="s">
        <v>43</v>
      </c>
      <c r="U377" s="17">
        <v>17231761</v>
      </c>
      <c r="V377" s="17" t="str">
        <f t="shared" si="13"/>
        <v>10/03/2019</v>
      </c>
      <c r="W377" s="17" t="s">
        <v>44</v>
      </c>
      <c r="X377" s="17" t="s">
        <v>1997</v>
      </c>
    </row>
    <row r="378" spans="1:24" s="17" customFormat="1" x14ac:dyDescent="0.25">
      <c r="A378" s="17" t="s">
        <v>24</v>
      </c>
      <c r="B378" s="17" t="s">
        <v>1367</v>
      </c>
      <c r="C378" s="17" t="s">
        <v>1998</v>
      </c>
      <c r="D378" s="17" t="s">
        <v>35</v>
      </c>
      <c r="E378" s="17" t="s">
        <v>26</v>
      </c>
      <c r="F378" s="17" t="s">
        <v>28</v>
      </c>
      <c r="G378" s="18"/>
      <c r="H378" s="18"/>
      <c r="I378" s="18" t="s">
        <v>36</v>
      </c>
      <c r="J378" s="18" t="str">
        <f t="shared" si="12"/>
        <v>2019</v>
      </c>
      <c r="K378" s="18"/>
      <c r="L378" s="18" t="s">
        <v>37</v>
      </c>
      <c r="M378" s="19" t="s">
        <v>1999</v>
      </c>
      <c r="O378" s="17" t="s">
        <v>2000</v>
      </c>
      <c r="P378" s="17" t="s">
        <v>2001</v>
      </c>
      <c r="Q378" s="17" t="s">
        <v>1374</v>
      </c>
      <c r="R378" s="17" t="s">
        <v>1375</v>
      </c>
      <c r="S378" s="17" t="s">
        <v>2002</v>
      </c>
      <c r="T378" s="17" t="s">
        <v>43</v>
      </c>
      <c r="U378" s="17">
        <v>17231706</v>
      </c>
      <c r="V378" s="17" t="str">
        <f t="shared" si="13"/>
        <v>09/26/2019</v>
      </c>
      <c r="W378" s="17" t="s">
        <v>44</v>
      </c>
    </row>
    <row r="379" spans="1:24" s="17" customFormat="1" x14ac:dyDescent="0.25">
      <c r="A379" s="17" t="s">
        <v>24</v>
      </c>
      <c r="B379" s="17" t="s">
        <v>1367</v>
      </c>
      <c r="C379" s="17" t="s">
        <v>2003</v>
      </c>
      <c r="D379" s="17" t="s">
        <v>35</v>
      </c>
      <c r="E379" s="17" t="s">
        <v>26</v>
      </c>
      <c r="F379" s="17" t="s">
        <v>28</v>
      </c>
      <c r="G379" s="18"/>
      <c r="H379" s="18"/>
      <c r="I379" s="18" t="s">
        <v>36</v>
      </c>
      <c r="J379" s="18" t="str">
        <f t="shared" si="12"/>
        <v>2019</v>
      </c>
      <c r="K379" s="18"/>
      <c r="L379" s="18" t="s">
        <v>37</v>
      </c>
      <c r="M379" s="19" t="s">
        <v>1352</v>
      </c>
      <c r="O379" s="17" t="s">
        <v>2004</v>
      </c>
      <c r="P379" s="17" t="s">
        <v>2005</v>
      </c>
      <c r="Q379" s="17" t="s">
        <v>1374</v>
      </c>
      <c r="R379" s="17" t="s">
        <v>1375</v>
      </c>
      <c r="S379" s="17" t="s">
        <v>2006</v>
      </c>
      <c r="T379" s="17" t="s">
        <v>43</v>
      </c>
      <c r="U379" s="17">
        <v>17231707</v>
      </c>
      <c r="V379" s="17" t="str">
        <f t="shared" si="13"/>
        <v>09/26/2019</v>
      </c>
      <c r="W379" s="17" t="s">
        <v>44</v>
      </c>
      <c r="X379" s="17" t="s">
        <v>2007</v>
      </c>
    </row>
    <row r="380" spans="1:24" s="17" customFormat="1" x14ac:dyDescent="0.25">
      <c r="A380" s="17" t="s">
        <v>24</v>
      </c>
      <c r="B380" s="17" t="s">
        <v>1367</v>
      </c>
      <c r="C380" s="17" t="s">
        <v>1240</v>
      </c>
      <c r="D380" s="17" t="s">
        <v>35</v>
      </c>
      <c r="E380" s="17" t="s">
        <v>26</v>
      </c>
      <c r="F380" s="17" t="s">
        <v>28</v>
      </c>
      <c r="G380" s="18"/>
      <c r="H380" s="18"/>
      <c r="I380" s="18" t="s">
        <v>36</v>
      </c>
      <c r="J380" s="18" t="str">
        <f t="shared" si="12"/>
        <v>2019</v>
      </c>
      <c r="K380" s="18"/>
      <c r="L380" s="18" t="s">
        <v>37</v>
      </c>
      <c r="M380" s="19" t="s">
        <v>1256</v>
      </c>
      <c r="O380" s="17" t="s">
        <v>2008</v>
      </c>
      <c r="P380" s="17" t="s">
        <v>2009</v>
      </c>
      <c r="Q380" s="17" t="s">
        <v>1374</v>
      </c>
      <c r="R380" s="17" t="s">
        <v>1375</v>
      </c>
      <c r="S380" s="17" t="s">
        <v>2010</v>
      </c>
      <c r="T380" s="17" t="s">
        <v>43</v>
      </c>
      <c r="U380" s="17">
        <v>17231710</v>
      </c>
      <c r="V380" s="17" t="str">
        <f t="shared" si="13"/>
        <v>09/26/2019</v>
      </c>
      <c r="W380" s="17" t="s">
        <v>44</v>
      </c>
      <c r="X380" s="17" t="s">
        <v>2011</v>
      </c>
    </row>
    <row r="381" spans="1:24" s="17" customFormat="1" x14ac:dyDescent="0.25">
      <c r="A381" s="17" t="s">
        <v>24</v>
      </c>
      <c r="B381" s="17" t="s">
        <v>1367</v>
      </c>
      <c r="C381" s="17" t="s">
        <v>2012</v>
      </c>
      <c r="D381" s="17" t="s">
        <v>35</v>
      </c>
      <c r="E381" s="17" t="s">
        <v>26</v>
      </c>
      <c r="F381" s="17" t="s">
        <v>28</v>
      </c>
      <c r="G381" s="18"/>
      <c r="H381" s="18"/>
      <c r="I381" s="18" t="s">
        <v>36</v>
      </c>
      <c r="J381" s="18" t="str">
        <f t="shared" si="12"/>
        <v>2019</v>
      </c>
      <c r="K381" s="18"/>
      <c r="L381" s="18" t="s">
        <v>37</v>
      </c>
      <c r="M381" s="19" t="s">
        <v>37</v>
      </c>
      <c r="O381" s="17" t="s">
        <v>2013</v>
      </c>
      <c r="P381" s="17" t="s">
        <v>2014</v>
      </c>
      <c r="Q381" s="17" t="s">
        <v>1374</v>
      </c>
      <c r="R381" s="17" t="s">
        <v>1375</v>
      </c>
      <c r="S381" s="17" t="s">
        <v>2015</v>
      </c>
      <c r="T381" s="17" t="s">
        <v>43</v>
      </c>
      <c r="U381" s="17">
        <v>17231708</v>
      </c>
      <c r="V381" s="17" t="str">
        <f t="shared" si="13"/>
        <v>09/26/2019</v>
      </c>
      <c r="W381" s="17" t="s">
        <v>44</v>
      </c>
    </row>
    <row r="382" spans="1:24" s="17" customFormat="1" x14ac:dyDescent="0.25">
      <c r="A382" s="17" t="s">
        <v>24</v>
      </c>
      <c r="B382" s="17" t="s">
        <v>1367</v>
      </c>
      <c r="C382" s="17" t="s">
        <v>2016</v>
      </c>
      <c r="D382" s="17" t="s">
        <v>35</v>
      </c>
      <c r="E382" s="17" t="s">
        <v>26</v>
      </c>
      <c r="F382" s="17" t="s">
        <v>28</v>
      </c>
      <c r="G382" s="18"/>
      <c r="H382" s="18"/>
      <c r="I382" s="18" t="s">
        <v>36</v>
      </c>
      <c r="J382" s="18" t="str">
        <f t="shared" si="12"/>
        <v>2019</v>
      </c>
      <c r="K382" s="18"/>
      <c r="L382" s="18" t="s">
        <v>37</v>
      </c>
      <c r="M382" s="19" t="s">
        <v>1352</v>
      </c>
      <c r="O382" s="17" t="s">
        <v>2017</v>
      </c>
      <c r="P382" s="17" t="s">
        <v>2018</v>
      </c>
      <c r="Q382" s="17" t="s">
        <v>1374</v>
      </c>
      <c r="R382" s="17" t="s">
        <v>1375</v>
      </c>
      <c r="S382" s="17" t="s">
        <v>2019</v>
      </c>
      <c r="T382" s="17" t="s">
        <v>43</v>
      </c>
      <c r="U382" s="17">
        <v>17231711</v>
      </c>
      <c r="V382" s="17" t="str">
        <f t="shared" si="13"/>
        <v>09/26/2019</v>
      </c>
      <c r="W382" s="17" t="s">
        <v>44</v>
      </c>
      <c r="X382" s="17" t="s">
        <v>2020</v>
      </c>
    </row>
    <row r="383" spans="1:24" s="17" customFormat="1" x14ac:dyDescent="0.25">
      <c r="A383" s="17" t="s">
        <v>24</v>
      </c>
      <c r="B383" s="17" t="s">
        <v>1367</v>
      </c>
      <c r="C383" s="17" t="s">
        <v>1724</v>
      </c>
      <c r="D383" s="17" t="s">
        <v>35</v>
      </c>
      <c r="E383" s="17" t="s">
        <v>26</v>
      </c>
      <c r="F383" s="17" t="s">
        <v>28</v>
      </c>
      <c r="G383" s="18"/>
      <c r="H383" s="18"/>
      <c r="I383" s="18" t="s">
        <v>36</v>
      </c>
      <c r="J383" s="18" t="str">
        <f t="shared" si="12"/>
        <v>2019</v>
      </c>
      <c r="K383" s="18"/>
      <c r="L383" s="18" t="s">
        <v>37</v>
      </c>
      <c r="M383" s="19" t="s">
        <v>1352</v>
      </c>
      <c r="O383" s="17" t="s">
        <v>2021</v>
      </c>
      <c r="P383" s="17" t="s">
        <v>2022</v>
      </c>
      <c r="Q383" s="17" t="s">
        <v>1374</v>
      </c>
      <c r="R383" s="17" t="s">
        <v>1375</v>
      </c>
      <c r="S383" s="17" t="s">
        <v>2023</v>
      </c>
      <c r="T383" s="17" t="s">
        <v>43</v>
      </c>
      <c r="U383" s="17">
        <v>17231712</v>
      </c>
      <c r="V383" s="17" t="str">
        <f t="shared" si="13"/>
        <v>09/26/2019</v>
      </c>
      <c r="W383" s="17" t="s">
        <v>44</v>
      </c>
    </row>
    <row r="384" spans="1:24" s="17" customFormat="1" x14ac:dyDescent="0.25">
      <c r="A384" s="17" t="s">
        <v>24</v>
      </c>
      <c r="B384" s="17" t="s">
        <v>1367</v>
      </c>
      <c r="C384" s="17" t="s">
        <v>2024</v>
      </c>
      <c r="D384" s="17" t="s">
        <v>35</v>
      </c>
      <c r="E384" s="17" t="s">
        <v>26</v>
      </c>
      <c r="F384" s="17" t="s">
        <v>28</v>
      </c>
      <c r="G384" s="18"/>
      <c r="H384" s="18"/>
      <c r="I384" s="18" t="s">
        <v>36</v>
      </c>
      <c r="J384" s="18" t="str">
        <f t="shared" si="12"/>
        <v>2019</v>
      </c>
      <c r="K384" s="18" t="s">
        <v>1914</v>
      </c>
      <c r="L384" s="18" t="s">
        <v>37</v>
      </c>
      <c r="M384" s="19" t="s">
        <v>2025</v>
      </c>
      <c r="O384" s="17" t="s">
        <v>2026</v>
      </c>
      <c r="P384" s="17" t="s">
        <v>2027</v>
      </c>
      <c r="Q384" s="17" t="s">
        <v>1374</v>
      </c>
      <c r="R384" s="17" t="s">
        <v>1375</v>
      </c>
      <c r="S384" s="17" t="s">
        <v>2028</v>
      </c>
      <c r="T384" s="17" t="s">
        <v>43</v>
      </c>
      <c r="U384" s="17">
        <v>17231716</v>
      </c>
      <c r="V384" s="17" t="str">
        <f t="shared" si="13"/>
        <v>09/26/2019</v>
      </c>
      <c r="W384" s="17" t="s">
        <v>44</v>
      </c>
    </row>
    <row r="385" spans="1:24" s="17" customFormat="1" x14ac:dyDescent="0.25">
      <c r="A385" s="17" t="s">
        <v>24</v>
      </c>
      <c r="B385" s="17" t="s">
        <v>1367</v>
      </c>
      <c r="C385" s="17" t="s">
        <v>2029</v>
      </c>
      <c r="D385" s="17" t="s">
        <v>35</v>
      </c>
      <c r="E385" s="17" t="s">
        <v>26</v>
      </c>
      <c r="F385" s="17" t="s">
        <v>28</v>
      </c>
      <c r="G385" s="18"/>
      <c r="H385" s="18"/>
      <c r="I385" s="18" t="s">
        <v>36</v>
      </c>
      <c r="J385" s="18" t="str">
        <f t="shared" si="12"/>
        <v>2019</v>
      </c>
      <c r="K385" s="18"/>
      <c r="L385" s="18" t="s">
        <v>37</v>
      </c>
      <c r="M385" s="19" t="s">
        <v>37</v>
      </c>
      <c r="O385" s="17" t="s">
        <v>2030</v>
      </c>
      <c r="P385" s="17" t="s">
        <v>2031</v>
      </c>
      <c r="Q385" s="17" t="s">
        <v>1374</v>
      </c>
      <c r="R385" s="17" t="s">
        <v>1375</v>
      </c>
      <c r="S385" s="17" t="s">
        <v>2032</v>
      </c>
      <c r="T385" s="17" t="s">
        <v>43</v>
      </c>
      <c r="U385" s="17">
        <v>17231714</v>
      </c>
      <c r="V385" s="17" t="str">
        <f t="shared" si="13"/>
        <v>09/26/2019</v>
      </c>
      <c r="W385" s="17" t="s">
        <v>44</v>
      </c>
      <c r="X385" s="17" t="s">
        <v>2033</v>
      </c>
    </row>
    <row r="386" spans="1:24" s="17" customFormat="1" hidden="1" x14ac:dyDescent="0.25">
      <c r="A386" s="17" t="s">
        <v>24</v>
      </c>
      <c r="B386" s="17" t="s">
        <v>1367</v>
      </c>
      <c r="C386" s="17" t="s">
        <v>2034</v>
      </c>
      <c r="D386" s="17" t="s">
        <v>107</v>
      </c>
      <c r="E386" s="17" t="s">
        <v>26</v>
      </c>
      <c r="F386" s="17" t="s">
        <v>26</v>
      </c>
      <c r="G386" s="18" t="s">
        <v>27</v>
      </c>
      <c r="H386" s="18" t="s">
        <v>28</v>
      </c>
      <c r="I386" s="18" t="s">
        <v>2035</v>
      </c>
      <c r="J386" s="18" t="str">
        <f t="shared" si="12"/>
        <v>2021</v>
      </c>
      <c r="K386" s="18"/>
      <c r="L386" s="18"/>
      <c r="M386" s="19"/>
      <c r="O386" s="17" t="s">
        <v>2036</v>
      </c>
      <c r="P386" s="17" t="s">
        <v>2037</v>
      </c>
      <c r="Q386" s="17" t="s">
        <v>1374</v>
      </c>
      <c r="R386" s="17" t="s">
        <v>1375</v>
      </c>
      <c r="S386" s="17" t="s">
        <v>2038</v>
      </c>
      <c r="T386" s="17" t="s">
        <v>43</v>
      </c>
      <c r="U386" s="17">
        <v>17231802</v>
      </c>
      <c r="V386" s="17" t="str">
        <f t="shared" si="13"/>
        <v>01/26/2021</v>
      </c>
      <c r="W386" s="17" t="s">
        <v>44</v>
      </c>
      <c r="X386" s="17" t="s">
        <v>2039</v>
      </c>
    </row>
    <row r="387" spans="1:24" s="17" customFormat="1" x14ac:dyDescent="0.25">
      <c r="A387" s="17" t="s">
        <v>24</v>
      </c>
      <c r="B387" s="17" t="s">
        <v>1367</v>
      </c>
      <c r="C387" s="17" t="s">
        <v>2040</v>
      </c>
      <c r="D387" s="17" t="s">
        <v>35</v>
      </c>
      <c r="E387" s="17" t="s">
        <v>26</v>
      </c>
      <c r="F387" s="17" t="s">
        <v>28</v>
      </c>
      <c r="G387" s="18"/>
      <c r="H387" s="18"/>
      <c r="I387" s="18" t="s">
        <v>36</v>
      </c>
      <c r="J387" s="18" t="str">
        <f t="shared" si="12"/>
        <v>2019</v>
      </c>
      <c r="K387" s="18"/>
      <c r="L387" s="18" t="s">
        <v>37</v>
      </c>
      <c r="M387" s="19" t="s">
        <v>37</v>
      </c>
      <c r="O387" s="17" t="s">
        <v>2041</v>
      </c>
      <c r="P387" s="17" t="s">
        <v>2042</v>
      </c>
      <c r="Q387" s="17" t="s">
        <v>1374</v>
      </c>
      <c r="R387" s="17" t="s">
        <v>1375</v>
      </c>
      <c r="S387" s="17" t="s">
        <v>2043</v>
      </c>
      <c r="T387" s="17" t="s">
        <v>43</v>
      </c>
      <c r="U387" s="17">
        <v>17231715</v>
      </c>
      <c r="V387" s="17" t="str">
        <f t="shared" si="13"/>
        <v>09/26/2019</v>
      </c>
      <c r="W387" s="17" t="s">
        <v>44</v>
      </c>
      <c r="X387" s="17" t="s">
        <v>2044</v>
      </c>
    </row>
    <row r="388" spans="1:24" s="17" customFormat="1" x14ac:dyDescent="0.25">
      <c r="A388" s="17" t="s">
        <v>24</v>
      </c>
      <c r="B388" t="s">
        <v>1367</v>
      </c>
      <c r="C388" t="s">
        <v>2045</v>
      </c>
      <c r="D388" t="s">
        <v>35</v>
      </c>
      <c r="E388" t="s">
        <v>28</v>
      </c>
      <c r="F388" t="s">
        <v>28</v>
      </c>
      <c r="G388"/>
      <c r="H388"/>
      <c r="I388" s="3" t="s">
        <v>36</v>
      </c>
      <c r="J388" s="3" t="str">
        <f t="shared" ref="J388:J442" si="14">RIGHT(I388,4)</f>
        <v>2019</v>
      </c>
      <c r="K388" s="3"/>
      <c r="L388" s="3" t="s">
        <v>37</v>
      </c>
      <c r="M388" s="16" t="s">
        <v>312</v>
      </c>
      <c r="N388" s="3"/>
      <c r="O388" s="2" t="s">
        <v>2046</v>
      </c>
      <c r="P388" t="s">
        <v>2047</v>
      </c>
      <c r="Q388" t="s">
        <v>1374</v>
      </c>
      <c r="R388" t="s">
        <v>1375</v>
      </c>
      <c r="S388" t="s">
        <v>2048</v>
      </c>
      <c r="T388" t="s">
        <v>43</v>
      </c>
      <c r="U388">
        <v>17231721</v>
      </c>
      <c r="V388" t="str">
        <f t="shared" si="13"/>
        <v>09/26/2019</v>
      </c>
      <c r="W388" t="s">
        <v>44</v>
      </c>
      <c r="X388"/>
    </row>
    <row r="389" spans="1:24" x14ac:dyDescent="0.25">
      <c r="A389" t="s">
        <v>24</v>
      </c>
      <c r="B389" s="7" t="s">
        <v>1367</v>
      </c>
      <c r="C389" s="7" t="s">
        <v>2049</v>
      </c>
      <c r="D389" s="7" t="s">
        <v>35</v>
      </c>
      <c r="E389" s="7" t="s">
        <v>28</v>
      </c>
      <c r="F389" s="7" t="s">
        <v>28</v>
      </c>
      <c r="G389" s="7"/>
      <c r="H389" s="7"/>
      <c r="I389" s="13" t="s">
        <v>36</v>
      </c>
      <c r="J389" s="13" t="str">
        <f t="shared" si="14"/>
        <v>2019</v>
      </c>
      <c r="K389" s="13"/>
      <c r="L389" s="13"/>
      <c r="M389" s="13" t="s">
        <v>37</v>
      </c>
      <c r="N389" s="13"/>
      <c r="O389" s="14" t="s">
        <v>2050</v>
      </c>
      <c r="P389" s="7" t="s">
        <v>2051</v>
      </c>
      <c r="Q389" s="7" t="s">
        <v>1374</v>
      </c>
      <c r="R389" s="7" t="s">
        <v>1375</v>
      </c>
      <c r="S389" s="7" t="s">
        <v>2052</v>
      </c>
      <c r="T389" s="7" t="s">
        <v>43</v>
      </c>
      <c r="U389" s="7">
        <v>17231717</v>
      </c>
      <c r="V389" s="7" t="str">
        <f t="shared" si="13"/>
        <v>09/26/2019</v>
      </c>
      <c r="W389" s="7" t="s">
        <v>44</v>
      </c>
      <c r="X389" s="7" t="s">
        <v>2053</v>
      </c>
    </row>
    <row r="390" spans="1:24" x14ac:dyDescent="0.25">
      <c r="A390" t="s">
        <v>24</v>
      </c>
      <c r="B390" s="7" t="s">
        <v>1367</v>
      </c>
      <c r="C390" s="7" t="s">
        <v>2054</v>
      </c>
      <c r="D390" s="7" t="s">
        <v>35</v>
      </c>
      <c r="E390" s="7" t="s">
        <v>28</v>
      </c>
      <c r="F390" s="7" t="s">
        <v>28</v>
      </c>
      <c r="G390" s="7"/>
      <c r="H390" s="7"/>
      <c r="I390" s="13" t="s">
        <v>36</v>
      </c>
      <c r="J390" s="13" t="str">
        <f t="shared" si="14"/>
        <v>2019</v>
      </c>
      <c r="K390" s="13"/>
      <c r="L390" s="13"/>
      <c r="M390" s="13" t="s">
        <v>37</v>
      </c>
      <c r="N390" s="13"/>
      <c r="O390" s="14" t="s">
        <v>2055</v>
      </c>
      <c r="P390" s="7" t="s">
        <v>2056</v>
      </c>
      <c r="Q390" s="7" t="s">
        <v>1374</v>
      </c>
      <c r="R390" s="7" t="s">
        <v>1375</v>
      </c>
      <c r="S390" s="7" t="s">
        <v>2057</v>
      </c>
      <c r="T390" s="7" t="s">
        <v>43</v>
      </c>
      <c r="U390" s="7">
        <v>17231718</v>
      </c>
      <c r="V390" s="7" t="str">
        <f t="shared" si="13"/>
        <v>09/26/2019</v>
      </c>
      <c r="W390" s="7" t="s">
        <v>44</v>
      </c>
      <c r="X390" s="7" t="s">
        <v>2058</v>
      </c>
    </row>
    <row r="391" spans="1:24" x14ac:dyDescent="0.25">
      <c r="A391" t="s">
        <v>24</v>
      </c>
      <c r="B391" s="7" t="s">
        <v>1367</v>
      </c>
      <c r="C391" s="7" t="s">
        <v>2059</v>
      </c>
      <c r="D391" s="7" t="s">
        <v>35</v>
      </c>
      <c r="E391" s="7" t="s">
        <v>28</v>
      </c>
      <c r="F391" s="7" t="s">
        <v>28</v>
      </c>
      <c r="G391" s="7"/>
      <c r="H391" s="7"/>
      <c r="I391" s="13" t="s">
        <v>36</v>
      </c>
      <c r="J391" s="13" t="str">
        <f t="shared" si="14"/>
        <v>2019</v>
      </c>
      <c r="K391" s="13"/>
      <c r="L391" s="13"/>
      <c r="M391" s="13" t="s">
        <v>37</v>
      </c>
      <c r="N391" s="13"/>
      <c r="O391" s="14" t="s">
        <v>2060</v>
      </c>
      <c r="P391" s="7" t="s">
        <v>2061</v>
      </c>
      <c r="Q391" s="7" t="s">
        <v>1374</v>
      </c>
      <c r="R391" s="7" t="s">
        <v>1375</v>
      </c>
      <c r="S391" s="7" t="s">
        <v>2062</v>
      </c>
      <c r="T391" s="7" t="s">
        <v>43</v>
      </c>
      <c r="U391" s="7">
        <v>17231719</v>
      </c>
      <c r="V391" s="7" t="str">
        <f t="shared" ref="V391:V447" si="15">TEXT(DATEVALUE(LEFT(O391,10)), "mm/dd/yyyy")</f>
        <v>09/26/2019</v>
      </c>
      <c r="W391" s="7" t="s">
        <v>44</v>
      </c>
      <c r="X391" s="7" t="s">
        <v>2063</v>
      </c>
    </row>
    <row r="392" spans="1:24" x14ac:dyDescent="0.25">
      <c r="A392" t="s">
        <v>24</v>
      </c>
      <c r="B392" s="7" t="s">
        <v>1367</v>
      </c>
      <c r="C392" s="7" t="s">
        <v>2064</v>
      </c>
      <c r="D392" s="7" t="s">
        <v>35</v>
      </c>
      <c r="E392" s="7" t="s">
        <v>28</v>
      </c>
      <c r="F392" s="7" t="s">
        <v>28</v>
      </c>
      <c r="G392" s="7"/>
      <c r="H392" s="7"/>
      <c r="I392" s="13" t="s">
        <v>36</v>
      </c>
      <c r="J392" s="13" t="str">
        <f t="shared" si="14"/>
        <v>2019</v>
      </c>
      <c r="K392" s="13"/>
      <c r="L392" s="13"/>
      <c r="M392" s="13" t="s">
        <v>37</v>
      </c>
      <c r="N392" s="13"/>
      <c r="O392" s="14" t="s">
        <v>2065</v>
      </c>
      <c r="P392" s="7" t="s">
        <v>2066</v>
      </c>
      <c r="Q392" s="7" t="s">
        <v>1374</v>
      </c>
      <c r="R392" s="7" t="s">
        <v>1375</v>
      </c>
      <c r="S392" s="7" t="s">
        <v>2067</v>
      </c>
      <c r="T392" s="7" t="s">
        <v>43</v>
      </c>
      <c r="U392" s="7">
        <v>17231720</v>
      </c>
      <c r="V392" s="7" t="str">
        <f t="shared" si="15"/>
        <v>09/26/2019</v>
      </c>
      <c r="W392" s="7" t="s">
        <v>44</v>
      </c>
      <c r="X392" s="7"/>
    </row>
    <row r="393" spans="1:24" x14ac:dyDescent="0.25">
      <c r="A393" t="s">
        <v>24</v>
      </c>
      <c r="B393" t="s">
        <v>1367</v>
      </c>
      <c r="C393" t="s">
        <v>2068</v>
      </c>
      <c r="D393" t="s">
        <v>35</v>
      </c>
      <c r="E393" t="s">
        <v>28</v>
      </c>
      <c r="F393" t="s">
        <v>28</v>
      </c>
      <c r="I393" s="3" t="s">
        <v>36</v>
      </c>
      <c r="J393" s="3" t="str">
        <f t="shared" si="14"/>
        <v>2019</v>
      </c>
      <c r="K393" s="3"/>
      <c r="L393" s="16" t="s">
        <v>281</v>
      </c>
      <c r="M393" s="16" t="s">
        <v>281</v>
      </c>
      <c r="N393" s="3"/>
      <c r="O393" s="2" t="s">
        <v>2069</v>
      </c>
      <c r="P393" t="s">
        <v>2070</v>
      </c>
      <c r="Q393" t="s">
        <v>1374</v>
      </c>
      <c r="R393" t="s">
        <v>1375</v>
      </c>
      <c r="S393" t="s">
        <v>2071</v>
      </c>
      <c r="T393" t="s">
        <v>43</v>
      </c>
      <c r="U393">
        <v>17231722</v>
      </c>
      <c r="V393" t="str">
        <f t="shared" si="15"/>
        <v>09/26/2019</v>
      </c>
      <c r="W393" t="s">
        <v>44</v>
      </c>
    </row>
    <row r="394" spans="1:24" x14ac:dyDescent="0.25">
      <c r="A394" t="s">
        <v>24</v>
      </c>
      <c r="B394" t="s">
        <v>1367</v>
      </c>
      <c r="C394" t="s">
        <v>2072</v>
      </c>
      <c r="D394" t="s">
        <v>35</v>
      </c>
      <c r="E394" t="s">
        <v>28</v>
      </c>
      <c r="F394" t="s">
        <v>28</v>
      </c>
      <c r="I394" s="3" t="s">
        <v>36</v>
      </c>
      <c r="J394" s="3" t="str">
        <f t="shared" si="14"/>
        <v>2019</v>
      </c>
      <c r="K394" s="3"/>
      <c r="L394" s="3" t="s">
        <v>37</v>
      </c>
      <c r="M394" s="16" t="s">
        <v>2073</v>
      </c>
      <c r="N394" s="3"/>
      <c r="O394" s="2" t="s">
        <v>2074</v>
      </c>
      <c r="P394" t="s">
        <v>2075</v>
      </c>
      <c r="Q394" t="s">
        <v>1374</v>
      </c>
      <c r="R394" t="s">
        <v>1375</v>
      </c>
      <c r="S394" t="s">
        <v>2076</v>
      </c>
      <c r="T394" t="s">
        <v>43</v>
      </c>
      <c r="U394">
        <v>17231724</v>
      </c>
      <c r="V394" t="str">
        <f t="shared" si="15"/>
        <v>09/26/2019</v>
      </c>
      <c r="W394" t="s">
        <v>44</v>
      </c>
    </row>
    <row r="395" spans="1:24" x14ac:dyDescent="0.25">
      <c r="A395" t="s">
        <v>24</v>
      </c>
      <c r="B395" s="7" t="s">
        <v>1367</v>
      </c>
      <c r="C395" s="7" t="s">
        <v>2077</v>
      </c>
      <c r="D395" s="7" t="s">
        <v>35</v>
      </c>
      <c r="E395" s="7" t="s">
        <v>28</v>
      </c>
      <c r="F395" s="7" t="s">
        <v>28</v>
      </c>
      <c r="G395" s="7"/>
      <c r="H395" s="7"/>
      <c r="I395" s="13" t="s">
        <v>36</v>
      </c>
      <c r="J395" s="13" t="str">
        <f t="shared" si="14"/>
        <v>2019</v>
      </c>
      <c r="K395" s="13"/>
      <c r="L395" s="13"/>
      <c r="M395" s="13" t="s">
        <v>37</v>
      </c>
      <c r="N395" s="13"/>
      <c r="O395" s="14" t="s">
        <v>2078</v>
      </c>
      <c r="P395" s="7" t="s">
        <v>2079</v>
      </c>
      <c r="Q395" s="7" t="s">
        <v>1374</v>
      </c>
      <c r="R395" s="7" t="s">
        <v>1375</v>
      </c>
      <c r="S395" s="7" t="s">
        <v>2080</v>
      </c>
      <c r="T395" s="7" t="s">
        <v>43</v>
      </c>
      <c r="U395" s="7">
        <v>17231723</v>
      </c>
      <c r="V395" s="7" t="str">
        <f t="shared" si="15"/>
        <v>09/26/2019</v>
      </c>
      <c r="W395" s="7" t="s">
        <v>44</v>
      </c>
      <c r="X395" s="7"/>
    </row>
    <row r="396" spans="1:24" x14ac:dyDescent="0.25">
      <c r="A396" t="s">
        <v>24</v>
      </c>
      <c r="B396" t="s">
        <v>1367</v>
      </c>
      <c r="C396" t="s">
        <v>2081</v>
      </c>
      <c r="D396" t="s">
        <v>35</v>
      </c>
      <c r="E396" t="s">
        <v>28</v>
      </c>
      <c r="F396" t="s">
        <v>28</v>
      </c>
      <c r="I396" s="3" t="s">
        <v>36</v>
      </c>
      <c r="J396" s="3" t="str">
        <f t="shared" si="14"/>
        <v>2019</v>
      </c>
      <c r="K396" s="3"/>
      <c r="L396" s="3" t="s">
        <v>37</v>
      </c>
      <c r="M396" s="16" t="s">
        <v>2082</v>
      </c>
      <c r="N396" s="3"/>
      <c r="O396" s="2" t="s">
        <v>2083</v>
      </c>
      <c r="P396" t="s">
        <v>2084</v>
      </c>
      <c r="Q396" t="s">
        <v>1374</v>
      </c>
      <c r="R396" t="s">
        <v>1375</v>
      </c>
      <c r="S396" t="s">
        <v>2085</v>
      </c>
      <c r="T396" t="s">
        <v>43</v>
      </c>
      <c r="U396">
        <v>17231727</v>
      </c>
      <c r="V396" t="str">
        <f t="shared" si="15"/>
        <v>09/26/2019</v>
      </c>
      <c r="W396" t="s">
        <v>44</v>
      </c>
      <c r="X396" t="s">
        <v>2086</v>
      </c>
    </row>
    <row r="397" spans="1:24" hidden="1" x14ac:dyDescent="0.25">
      <c r="A397" t="s">
        <v>24</v>
      </c>
      <c r="B397" t="s">
        <v>1367</v>
      </c>
      <c r="C397" t="s">
        <v>2087</v>
      </c>
      <c r="D397" t="s">
        <v>107</v>
      </c>
      <c r="E397" t="s">
        <v>26</v>
      </c>
      <c r="F397" t="s">
        <v>26</v>
      </c>
      <c r="G397" t="s">
        <v>27</v>
      </c>
      <c r="H397" t="s">
        <v>28</v>
      </c>
      <c r="I397" s="3" t="s">
        <v>1867</v>
      </c>
      <c r="J397" s="3" t="str">
        <f t="shared" si="14"/>
        <v>2020</v>
      </c>
      <c r="K397" s="3"/>
      <c r="L397" s="3"/>
      <c r="M397" s="3"/>
      <c r="N397" s="3"/>
      <c r="O397" s="2" t="s">
        <v>2088</v>
      </c>
      <c r="P397" t="s">
        <v>2089</v>
      </c>
      <c r="Q397" t="s">
        <v>1374</v>
      </c>
      <c r="R397" t="s">
        <v>1375</v>
      </c>
      <c r="S397" t="s">
        <v>2090</v>
      </c>
      <c r="T397" t="s">
        <v>43</v>
      </c>
      <c r="U397">
        <v>17231781</v>
      </c>
      <c r="V397" t="str">
        <f t="shared" si="15"/>
        <v>05/20/2020</v>
      </c>
      <c r="W397" t="s">
        <v>44</v>
      </c>
      <c r="X397" t="s">
        <v>2091</v>
      </c>
    </row>
    <row r="398" spans="1:24" x14ac:dyDescent="0.25">
      <c r="A398" t="s">
        <v>24</v>
      </c>
      <c r="B398" s="7" t="s">
        <v>1367</v>
      </c>
      <c r="C398" s="7" t="s">
        <v>2092</v>
      </c>
      <c r="D398" s="7" t="s">
        <v>35</v>
      </c>
      <c r="E398" s="7" t="s">
        <v>28</v>
      </c>
      <c r="F398" s="7" t="s">
        <v>28</v>
      </c>
      <c r="G398" s="7"/>
      <c r="H398" s="7"/>
      <c r="I398" s="13" t="s">
        <v>36</v>
      </c>
      <c r="J398" s="13" t="str">
        <f t="shared" si="14"/>
        <v>2019</v>
      </c>
      <c r="K398" s="13"/>
      <c r="L398" s="13"/>
      <c r="M398" s="13" t="s">
        <v>37</v>
      </c>
      <c r="N398" s="13"/>
      <c r="O398" s="14" t="s">
        <v>2093</v>
      </c>
      <c r="P398" s="7" t="s">
        <v>2094</v>
      </c>
      <c r="Q398" s="7" t="s">
        <v>1374</v>
      </c>
      <c r="R398" s="7" t="s">
        <v>1375</v>
      </c>
      <c r="S398" s="7" t="s">
        <v>2095</v>
      </c>
      <c r="T398" s="7" t="s">
        <v>43</v>
      </c>
      <c r="U398" s="7">
        <v>17231725</v>
      </c>
      <c r="V398" s="7" t="str">
        <f t="shared" si="15"/>
        <v>09/26/2019</v>
      </c>
      <c r="W398" s="7" t="s">
        <v>44</v>
      </c>
      <c r="X398" s="7"/>
    </row>
    <row r="399" spans="1:24" hidden="1" x14ac:dyDescent="0.25">
      <c r="A399" t="s">
        <v>24</v>
      </c>
      <c r="B399" s="7" t="s">
        <v>1367</v>
      </c>
      <c r="C399" t="s">
        <v>2096</v>
      </c>
      <c r="D399" t="s">
        <v>107</v>
      </c>
      <c r="E399" t="s">
        <v>26</v>
      </c>
      <c r="F399" t="s">
        <v>26</v>
      </c>
      <c r="G399" t="s">
        <v>27</v>
      </c>
      <c r="H399" t="s">
        <v>28</v>
      </c>
      <c r="I399" s="3" t="s">
        <v>2097</v>
      </c>
      <c r="J399" s="3" t="str">
        <f t="shared" si="14"/>
        <v>2020</v>
      </c>
      <c r="K399" s="3"/>
      <c r="L399" s="3"/>
      <c r="M399" s="3"/>
      <c r="N399" s="3"/>
      <c r="O399" s="2" t="s">
        <v>2098</v>
      </c>
      <c r="P399" t="s">
        <v>2099</v>
      </c>
      <c r="Q399" t="s">
        <v>1374</v>
      </c>
      <c r="R399" t="s">
        <v>1375</v>
      </c>
      <c r="S399" t="s">
        <v>2100</v>
      </c>
      <c r="T399" t="s">
        <v>43</v>
      </c>
      <c r="U399">
        <v>17231790</v>
      </c>
      <c r="V399" t="str">
        <f t="shared" si="15"/>
        <v>07/20/2020</v>
      </c>
      <c r="W399" t="s">
        <v>44</v>
      </c>
    </row>
    <row r="400" spans="1:24" x14ac:dyDescent="0.25">
      <c r="A400" t="s">
        <v>24</v>
      </c>
      <c r="B400" s="7" t="s">
        <v>1367</v>
      </c>
      <c r="C400" s="7" t="s">
        <v>2101</v>
      </c>
      <c r="D400" s="7" t="s">
        <v>35</v>
      </c>
      <c r="E400" s="7" t="s">
        <v>28</v>
      </c>
      <c r="F400" s="7" t="s">
        <v>28</v>
      </c>
      <c r="G400" s="7"/>
      <c r="H400" s="7"/>
      <c r="I400" s="13" t="s">
        <v>36</v>
      </c>
      <c r="J400" s="13" t="str">
        <f t="shared" si="14"/>
        <v>2019</v>
      </c>
      <c r="K400" s="13"/>
      <c r="L400" s="13"/>
      <c r="M400" s="13" t="s">
        <v>37</v>
      </c>
      <c r="N400" s="13"/>
      <c r="O400" s="14" t="s">
        <v>2102</v>
      </c>
      <c r="P400" s="7" t="s">
        <v>2103</v>
      </c>
      <c r="Q400" s="7" t="s">
        <v>1374</v>
      </c>
      <c r="R400" s="7" t="s">
        <v>1375</v>
      </c>
      <c r="S400" s="7" t="s">
        <v>2104</v>
      </c>
      <c r="T400" s="7" t="s">
        <v>43</v>
      </c>
      <c r="U400" s="7">
        <v>17231726</v>
      </c>
      <c r="V400" s="7" t="str">
        <f t="shared" si="15"/>
        <v>09/26/2019</v>
      </c>
      <c r="W400" s="7" t="s">
        <v>44</v>
      </c>
      <c r="X400" s="7" t="s">
        <v>2105</v>
      </c>
    </row>
    <row r="401" spans="1:24" x14ac:dyDescent="0.25">
      <c r="A401" t="s">
        <v>24</v>
      </c>
      <c r="B401" t="s">
        <v>1367</v>
      </c>
      <c r="C401" t="s">
        <v>2106</v>
      </c>
      <c r="D401" t="s">
        <v>35</v>
      </c>
      <c r="E401" t="s">
        <v>28</v>
      </c>
      <c r="F401" t="s">
        <v>28</v>
      </c>
      <c r="I401" s="3" t="s">
        <v>36</v>
      </c>
      <c r="J401" s="3" t="str">
        <f t="shared" si="14"/>
        <v>2019</v>
      </c>
      <c r="K401" s="3" t="s">
        <v>87</v>
      </c>
      <c r="L401" s="16" t="s">
        <v>2107</v>
      </c>
      <c r="M401" s="16" t="s">
        <v>2108</v>
      </c>
      <c r="N401" s="3" t="s">
        <v>2109</v>
      </c>
      <c r="O401" s="2" t="s">
        <v>2110</v>
      </c>
      <c r="P401" t="s">
        <v>2111</v>
      </c>
      <c r="Q401" t="s">
        <v>1374</v>
      </c>
      <c r="R401" t="s">
        <v>1375</v>
      </c>
      <c r="S401" t="s">
        <v>2112</v>
      </c>
      <c r="T401" t="s">
        <v>43</v>
      </c>
      <c r="U401">
        <v>17231731</v>
      </c>
      <c r="V401" t="str">
        <f t="shared" si="15"/>
        <v>09/26/2019</v>
      </c>
      <c r="W401" t="s">
        <v>44</v>
      </c>
      <c r="X401" t="s">
        <v>2113</v>
      </c>
    </row>
    <row r="402" spans="1:24" x14ac:dyDescent="0.25">
      <c r="A402" t="s">
        <v>24</v>
      </c>
      <c r="B402" s="7" t="s">
        <v>1367</v>
      </c>
      <c r="C402" s="7" t="s">
        <v>2086</v>
      </c>
      <c r="D402" s="7" t="s">
        <v>35</v>
      </c>
      <c r="E402" s="7" t="s">
        <v>28</v>
      </c>
      <c r="F402" s="7" t="s">
        <v>28</v>
      </c>
      <c r="G402" s="7"/>
      <c r="H402" s="7"/>
      <c r="I402" s="13" t="s">
        <v>36</v>
      </c>
      <c r="J402" s="13" t="str">
        <f t="shared" si="14"/>
        <v>2019</v>
      </c>
      <c r="K402" s="13"/>
      <c r="L402" s="13"/>
      <c r="M402" s="13" t="s">
        <v>37</v>
      </c>
      <c r="N402" s="13"/>
      <c r="O402" s="14" t="s">
        <v>2114</v>
      </c>
      <c r="P402" s="7" t="s">
        <v>2115</v>
      </c>
      <c r="Q402" s="7" t="s">
        <v>1374</v>
      </c>
      <c r="R402" s="7" t="s">
        <v>1375</v>
      </c>
      <c r="S402" s="7" t="s">
        <v>2116</v>
      </c>
      <c r="T402" s="7" t="s">
        <v>43</v>
      </c>
      <c r="U402" s="7">
        <v>17231728</v>
      </c>
      <c r="V402" s="7" t="str">
        <f t="shared" si="15"/>
        <v>09/26/2019</v>
      </c>
      <c r="W402" s="7" t="s">
        <v>44</v>
      </c>
      <c r="X402" s="7"/>
    </row>
    <row r="403" spans="1:24" x14ac:dyDescent="0.25">
      <c r="A403" t="s">
        <v>24</v>
      </c>
      <c r="B403" s="7" t="s">
        <v>1367</v>
      </c>
      <c r="C403" s="7" t="s">
        <v>1612</v>
      </c>
      <c r="D403" s="7" t="s">
        <v>35</v>
      </c>
      <c r="E403" s="7" t="s">
        <v>28</v>
      </c>
      <c r="F403" s="7" t="s">
        <v>28</v>
      </c>
      <c r="G403" s="7"/>
      <c r="H403" s="7"/>
      <c r="I403" s="13" t="s">
        <v>36</v>
      </c>
      <c r="J403" s="13" t="str">
        <f t="shared" si="14"/>
        <v>2019</v>
      </c>
      <c r="K403" s="13"/>
      <c r="L403" s="13"/>
      <c r="M403" s="13" t="s">
        <v>37</v>
      </c>
      <c r="N403" s="13"/>
      <c r="O403" s="14" t="s">
        <v>2117</v>
      </c>
      <c r="P403" s="7" t="s">
        <v>2118</v>
      </c>
      <c r="Q403" s="7" t="s">
        <v>1374</v>
      </c>
      <c r="R403" s="7" t="s">
        <v>1375</v>
      </c>
      <c r="S403" s="7" t="s">
        <v>2119</v>
      </c>
      <c r="T403" s="7" t="s">
        <v>43</v>
      </c>
      <c r="U403" s="7">
        <v>17231729</v>
      </c>
      <c r="V403" s="7" t="str">
        <f t="shared" si="15"/>
        <v>09/26/2019</v>
      </c>
      <c r="W403" s="7" t="s">
        <v>44</v>
      </c>
      <c r="X403" s="7" t="s">
        <v>2120</v>
      </c>
    </row>
    <row r="404" spans="1:24" x14ac:dyDescent="0.25">
      <c r="A404" t="s">
        <v>24</v>
      </c>
      <c r="B404" s="7" t="s">
        <v>1367</v>
      </c>
      <c r="C404" s="7" t="s">
        <v>2121</v>
      </c>
      <c r="D404" s="7" t="s">
        <v>35</v>
      </c>
      <c r="E404" s="7" t="s">
        <v>28</v>
      </c>
      <c r="F404" s="7" t="s">
        <v>28</v>
      </c>
      <c r="G404" s="7"/>
      <c r="H404" s="7"/>
      <c r="I404" s="13" t="s">
        <v>36</v>
      </c>
      <c r="J404" s="13" t="str">
        <f t="shared" si="14"/>
        <v>2019</v>
      </c>
      <c r="K404" s="13"/>
      <c r="L404" s="13"/>
      <c r="M404" s="13" t="s">
        <v>37</v>
      </c>
      <c r="N404" s="13"/>
      <c r="O404" s="14" t="s">
        <v>2122</v>
      </c>
      <c r="P404" s="7" t="s">
        <v>2123</v>
      </c>
      <c r="Q404" s="7" t="s">
        <v>1374</v>
      </c>
      <c r="R404" s="7" t="s">
        <v>1375</v>
      </c>
      <c r="S404" s="7" t="s">
        <v>2124</v>
      </c>
      <c r="T404" s="7" t="s">
        <v>43</v>
      </c>
      <c r="U404" s="7">
        <v>17231730</v>
      </c>
      <c r="V404" s="7" t="str">
        <f t="shared" si="15"/>
        <v>09/26/2019</v>
      </c>
      <c r="W404" s="7" t="s">
        <v>44</v>
      </c>
      <c r="X404" s="7" t="s">
        <v>2125</v>
      </c>
    </row>
    <row r="405" spans="1:24" x14ac:dyDescent="0.25">
      <c r="A405" t="s">
        <v>24</v>
      </c>
      <c r="B405" t="s">
        <v>1367</v>
      </c>
      <c r="C405" t="s">
        <v>2126</v>
      </c>
      <c r="D405" t="s">
        <v>35</v>
      </c>
      <c r="E405" t="s">
        <v>28</v>
      </c>
      <c r="F405" t="s">
        <v>28</v>
      </c>
      <c r="I405" s="3" t="s">
        <v>36</v>
      </c>
      <c r="J405" s="3" t="str">
        <f t="shared" si="14"/>
        <v>2019</v>
      </c>
      <c r="K405" s="3"/>
      <c r="L405" s="3" t="s">
        <v>37</v>
      </c>
      <c r="M405" s="16" t="s">
        <v>2127</v>
      </c>
      <c r="N405" s="3"/>
      <c r="O405" s="2" t="s">
        <v>2128</v>
      </c>
      <c r="P405" t="s">
        <v>2129</v>
      </c>
      <c r="Q405" t="s">
        <v>1374</v>
      </c>
      <c r="R405" t="s">
        <v>1375</v>
      </c>
      <c r="S405" t="s">
        <v>2130</v>
      </c>
      <c r="T405" t="s">
        <v>43</v>
      </c>
      <c r="U405">
        <v>17231733</v>
      </c>
      <c r="V405" t="str">
        <f t="shared" si="15"/>
        <v>09/26/2019</v>
      </c>
      <c r="W405" t="s">
        <v>44</v>
      </c>
    </row>
    <row r="406" spans="1:24" x14ac:dyDescent="0.25">
      <c r="A406" t="s">
        <v>24</v>
      </c>
      <c r="B406" s="7" t="s">
        <v>1367</v>
      </c>
      <c r="C406" s="7" t="s">
        <v>2131</v>
      </c>
      <c r="D406" s="7" t="s">
        <v>35</v>
      </c>
      <c r="E406" s="7" t="s">
        <v>28</v>
      </c>
      <c r="F406" s="7" t="s">
        <v>28</v>
      </c>
      <c r="G406" s="7"/>
      <c r="H406" s="7"/>
      <c r="I406" s="13" t="s">
        <v>36</v>
      </c>
      <c r="J406" s="13" t="str">
        <f t="shared" si="14"/>
        <v>2019</v>
      </c>
      <c r="K406" s="13"/>
      <c r="L406" s="13"/>
      <c r="M406" s="13" t="s">
        <v>37</v>
      </c>
      <c r="N406" s="13"/>
      <c r="O406" s="14" t="s">
        <v>2132</v>
      </c>
      <c r="P406" s="7" t="s">
        <v>2133</v>
      </c>
      <c r="Q406" s="7" t="s">
        <v>1374</v>
      </c>
      <c r="R406" s="7" t="s">
        <v>1375</v>
      </c>
      <c r="S406" s="7" t="s">
        <v>2134</v>
      </c>
      <c r="T406" s="7" t="s">
        <v>43</v>
      </c>
      <c r="U406" s="7">
        <v>17231732</v>
      </c>
      <c r="V406" s="7" t="str">
        <f t="shared" si="15"/>
        <v>09/26/2019</v>
      </c>
      <c r="W406" s="7" t="s">
        <v>44</v>
      </c>
      <c r="X406" s="7"/>
    </row>
    <row r="407" spans="1:24" x14ac:dyDescent="0.25">
      <c r="A407" t="s">
        <v>24</v>
      </c>
      <c r="B407" t="s">
        <v>1367</v>
      </c>
      <c r="C407" t="s">
        <v>2135</v>
      </c>
      <c r="D407" t="s">
        <v>35</v>
      </c>
      <c r="E407" t="s">
        <v>28</v>
      </c>
      <c r="F407" t="s">
        <v>28</v>
      </c>
      <c r="I407" s="3" t="s">
        <v>36</v>
      </c>
      <c r="J407" s="3" t="str">
        <f t="shared" si="14"/>
        <v>2019</v>
      </c>
      <c r="K407" s="3" t="s">
        <v>87</v>
      </c>
      <c r="L407" s="16" t="s">
        <v>801</v>
      </c>
      <c r="M407" s="16" t="s">
        <v>2136</v>
      </c>
      <c r="N407" s="3" t="s">
        <v>2137</v>
      </c>
      <c r="O407" s="2" t="s">
        <v>2138</v>
      </c>
      <c r="P407" t="s">
        <v>2139</v>
      </c>
      <c r="Q407" t="s">
        <v>1374</v>
      </c>
      <c r="R407" t="s">
        <v>1375</v>
      </c>
      <c r="S407" t="s">
        <v>2140</v>
      </c>
      <c r="T407" t="s">
        <v>43</v>
      </c>
      <c r="U407">
        <v>17231736</v>
      </c>
      <c r="V407" t="str">
        <f t="shared" si="15"/>
        <v>09/26/2019</v>
      </c>
      <c r="W407" t="s">
        <v>44</v>
      </c>
      <c r="X407" t="s">
        <v>2141</v>
      </c>
    </row>
    <row r="408" spans="1:24" x14ac:dyDescent="0.25">
      <c r="A408" t="s">
        <v>24</v>
      </c>
      <c r="B408" s="6" t="s">
        <v>1367</v>
      </c>
      <c r="C408" s="6" t="s">
        <v>2142</v>
      </c>
      <c r="D408" s="6" t="s">
        <v>35</v>
      </c>
      <c r="E408" s="6" t="s">
        <v>28</v>
      </c>
      <c r="F408" s="6" t="s">
        <v>28</v>
      </c>
      <c r="G408" s="6"/>
      <c r="H408" s="6"/>
      <c r="I408" s="10" t="s">
        <v>36</v>
      </c>
      <c r="J408" s="10" t="str">
        <f t="shared" si="14"/>
        <v>2019</v>
      </c>
      <c r="K408" s="10"/>
      <c r="L408" s="10"/>
      <c r="M408" s="10" t="s">
        <v>37</v>
      </c>
      <c r="N408" s="10"/>
      <c r="O408" s="11" t="s">
        <v>2143</v>
      </c>
      <c r="P408" s="6" t="s">
        <v>2144</v>
      </c>
      <c r="Q408" s="6" t="s">
        <v>1374</v>
      </c>
      <c r="R408" s="6" t="s">
        <v>1375</v>
      </c>
      <c r="S408" s="6" t="s">
        <v>2145</v>
      </c>
      <c r="T408" s="6" t="s">
        <v>43</v>
      </c>
      <c r="U408" s="6">
        <v>17231735</v>
      </c>
      <c r="V408" s="6" t="str">
        <f t="shared" si="15"/>
        <v>09/26/2019</v>
      </c>
      <c r="W408" s="6" t="s">
        <v>44</v>
      </c>
      <c r="X408" s="6" t="s">
        <v>2146</v>
      </c>
    </row>
    <row r="409" spans="1:24" x14ac:dyDescent="0.25">
      <c r="A409" t="s">
        <v>24</v>
      </c>
      <c r="B409" t="s">
        <v>1367</v>
      </c>
      <c r="C409" t="s">
        <v>2147</v>
      </c>
      <c r="D409" t="s">
        <v>35</v>
      </c>
      <c r="E409" t="s">
        <v>28</v>
      </c>
      <c r="F409" t="s">
        <v>28</v>
      </c>
      <c r="I409" s="3" t="s">
        <v>36</v>
      </c>
      <c r="J409" s="3" t="str">
        <f t="shared" si="14"/>
        <v>2019</v>
      </c>
      <c r="K409" s="3"/>
      <c r="L409" s="3" t="s">
        <v>37</v>
      </c>
      <c r="M409" s="16" t="s">
        <v>2108</v>
      </c>
      <c r="N409" s="3"/>
      <c r="O409" s="2" t="s">
        <v>2148</v>
      </c>
      <c r="P409" t="s">
        <v>2149</v>
      </c>
      <c r="Q409" t="s">
        <v>1374</v>
      </c>
      <c r="R409" t="s">
        <v>1375</v>
      </c>
      <c r="S409" t="s">
        <v>2150</v>
      </c>
      <c r="T409" t="s">
        <v>43</v>
      </c>
      <c r="U409">
        <v>17231738</v>
      </c>
      <c r="V409" t="str">
        <f t="shared" si="15"/>
        <v>09/26/2019</v>
      </c>
      <c r="W409" t="s">
        <v>44</v>
      </c>
      <c r="X409" t="s">
        <v>2151</v>
      </c>
    </row>
    <row r="410" spans="1:24" x14ac:dyDescent="0.25">
      <c r="A410" t="s">
        <v>24</v>
      </c>
      <c r="B410" s="7" t="s">
        <v>1367</v>
      </c>
      <c r="C410" s="7" t="s">
        <v>2141</v>
      </c>
      <c r="D410" s="7" t="s">
        <v>35</v>
      </c>
      <c r="E410" s="7" t="s">
        <v>28</v>
      </c>
      <c r="F410" s="7" t="s">
        <v>28</v>
      </c>
      <c r="G410" s="7"/>
      <c r="H410" s="7"/>
      <c r="I410" s="13" t="s">
        <v>36</v>
      </c>
      <c r="J410" s="13" t="str">
        <f t="shared" si="14"/>
        <v>2019</v>
      </c>
      <c r="K410" s="13"/>
      <c r="L410" s="13"/>
      <c r="M410" s="13" t="s">
        <v>37</v>
      </c>
      <c r="N410" s="13"/>
      <c r="O410" s="14" t="s">
        <v>2152</v>
      </c>
      <c r="P410" s="7" t="s">
        <v>2153</v>
      </c>
      <c r="Q410" s="7" t="s">
        <v>1374</v>
      </c>
      <c r="R410" s="7" t="s">
        <v>1375</v>
      </c>
      <c r="S410" s="7" t="s">
        <v>2154</v>
      </c>
      <c r="T410" s="7" t="s">
        <v>43</v>
      </c>
      <c r="U410" s="7">
        <v>17231737</v>
      </c>
      <c r="V410" s="7" t="str">
        <f t="shared" si="15"/>
        <v>09/26/2019</v>
      </c>
      <c r="W410" s="7" t="s">
        <v>44</v>
      </c>
      <c r="X410" s="7" t="s">
        <v>2155</v>
      </c>
    </row>
    <row r="411" spans="1:24" x14ac:dyDescent="0.25">
      <c r="A411" t="s">
        <v>24</v>
      </c>
      <c r="B411" t="s">
        <v>1367</v>
      </c>
      <c r="C411" t="s">
        <v>2156</v>
      </c>
      <c r="D411" t="s">
        <v>35</v>
      </c>
      <c r="E411" t="s">
        <v>28</v>
      </c>
      <c r="F411" t="s">
        <v>28</v>
      </c>
      <c r="I411" s="3" t="s">
        <v>36</v>
      </c>
      <c r="J411" s="3" t="str">
        <f t="shared" si="14"/>
        <v>2019</v>
      </c>
      <c r="K411" s="3"/>
      <c r="L411" s="3" t="s">
        <v>37</v>
      </c>
      <c r="M411" s="16" t="s">
        <v>1352</v>
      </c>
      <c r="N411" s="3"/>
      <c r="O411" s="2" t="s">
        <v>2157</v>
      </c>
      <c r="P411" t="s">
        <v>2158</v>
      </c>
      <c r="Q411" t="s">
        <v>1374</v>
      </c>
      <c r="R411" t="s">
        <v>1375</v>
      </c>
      <c r="S411" t="s">
        <v>2159</v>
      </c>
      <c r="T411" t="s">
        <v>43</v>
      </c>
      <c r="U411">
        <v>17231741</v>
      </c>
      <c r="V411" t="str">
        <f t="shared" si="15"/>
        <v>09/26/2019</v>
      </c>
      <c r="W411" t="s">
        <v>44</v>
      </c>
      <c r="X411" t="s">
        <v>2160</v>
      </c>
    </row>
    <row r="412" spans="1:24" x14ac:dyDescent="0.25">
      <c r="A412" t="s">
        <v>24</v>
      </c>
      <c r="B412" s="7" t="s">
        <v>1367</v>
      </c>
      <c r="C412" s="7" t="s">
        <v>2161</v>
      </c>
      <c r="D412" s="7" t="s">
        <v>35</v>
      </c>
      <c r="E412" s="7" t="s">
        <v>28</v>
      </c>
      <c r="F412" s="7" t="s">
        <v>28</v>
      </c>
      <c r="G412" s="7"/>
      <c r="H412" s="7"/>
      <c r="I412" s="13" t="s">
        <v>36</v>
      </c>
      <c r="J412" s="13" t="str">
        <f t="shared" si="14"/>
        <v>2019</v>
      </c>
      <c r="K412" s="13"/>
      <c r="L412" s="13"/>
      <c r="M412" s="13" t="s">
        <v>37</v>
      </c>
      <c r="N412" s="13"/>
      <c r="O412" s="14" t="s">
        <v>2162</v>
      </c>
      <c r="P412" s="7" t="s">
        <v>2163</v>
      </c>
      <c r="Q412" s="7" t="s">
        <v>1374</v>
      </c>
      <c r="R412" s="7" t="s">
        <v>1375</v>
      </c>
      <c r="S412" s="7" t="s">
        <v>2164</v>
      </c>
      <c r="T412" s="7" t="s">
        <v>43</v>
      </c>
      <c r="U412" s="7">
        <v>17231740</v>
      </c>
      <c r="V412" s="7" t="str">
        <f t="shared" si="15"/>
        <v>09/26/2019</v>
      </c>
      <c r="W412" s="7" t="s">
        <v>44</v>
      </c>
      <c r="X412" s="7" t="s">
        <v>2165</v>
      </c>
    </row>
    <row r="413" spans="1:24" x14ac:dyDescent="0.25">
      <c r="A413" t="s">
        <v>24</v>
      </c>
      <c r="B413" t="s">
        <v>1367</v>
      </c>
      <c r="C413" t="s">
        <v>2166</v>
      </c>
      <c r="D413" t="s">
        <v>35</v>
      </c>
      <c r="E413" t="s">
        <v>28</v>
      </c>
      <c r="F413" t="s">
        <v>28</v>
      </c>
      <c r="I413" s="3" t="s">
        <v>36</v>
      </c>
      <c r="J413" s="3" t="str">
        <f t="shared" si="14"/>
        <v>2019</v>
      </c>
      <c r="K413" s="3"/>
      <c r="L413" s="3" t="s">
        <v>37</v>
      </c>
      <c r="M413" s="16" t="s">
        <v>1352</v>
      </c>
      <c r="N413" s="3"/>
      <c r="O413" s="2" t="s">
        <v>2167</v>
      </c>
      <c r="P413" t="s">
        <v>2168</v>
      </c>
      <c r="Q413" t="s">
        <v>1374</v>
      </c>
      <c r="R413" t="s">
        <v>1375</v>
      </c>
      <c r="S413" t="s">
        <v>2169</v>
      </c>
      <c r="T413" t="s">
        <v>43</v>
      </c>
      <c r="U413">
        <v>17231743</v>
      </c>
      <c r="V413" t="str">
        <f t="shared" si="15"/>
        <v>09/26/2019</v>
      </c>
      <c r="W413" t="s">
        <v>44</v>
      </c>
      <c r="X413" t="s">
        <v>2170</v>
      </c>
    </row>
    <row r="414" spans="1:24" x14ac:dyDescent="0.25">
      <c r="A414" t="s">
        <v>24</v>
      </c>
      <c r="B414" s="7" t="s">
        <v>1367</v>
      </c>
      <c r="C414" s="7" t="s">
        <v>2171</v>
      </c>
      <c r="D414" s="7" t="s">
        <v>35</v>
      </c>
      <c r="E414" s="7" t="s">
        <v>28</v>
      </c>
      <c r="F414" s="7" t="s">
        <v>28</v>
      </c>
      <c r="G414" s="7"/>
      <c r="H414" s="7"/>
      <c r="I414" s="13" t="s">
        <v>36</v>
      </c>
      <c r="J414" s="13" t="str">
        <f t="shared" si="14"/>
        <v>2019</v>
      </c>
      <c r="K414" s="13"/>
      <c r="L414" s="13"/>
      <c r="M414" s="13" t="s">
        <v>37</v>
      </c>
      <c r="N414" s="13"/>
      <c r="O414" s="14" t="s">
        <v>2172</v>
      </c>
      <c r="P414" s="7" t="s">
        <v>2173</v>
      </c>
      <c r="Q414" s="7" t="s">
        <v>1374</v>
      </c>
      <c r="R414" s="7" t="s">
        <v>1375</v>
      </c>
      <c r="S414" s="7" t="s">
        <v>2174</v>
      </c>
      <c r="T414" s="7" t="s">
        <v>43</v>
      </c>
      <c r="U414" s="7">
        <v>17231742</v>
      </c>
      <c r="V414" s="7" t="str">
        <f t="shared" si="15"/>
        <v>09/26/2019</v>
      </c>
      <c r="W414" s="7" t="s">
        <v>44</v>
      </c>
      <c r="X414" s="7"/>
    </row>
    <row r="415" spans="1:24" x14ac:dyDescent="0.25">
      <c r="A415" t="s">
        <v>24</v>
      </c>
      <c r="B415" t="s">
        <v>1367</v>
      </c>
      <c r="C415" t="s">
        <v>2175</v>
      </c>
      <c r="D415" t="s">
        <v>35</v>
      </c>
      <c r="E415" t="s">
        <v>28</v>
      </c>
      <c r="F415" t="s">
        <v>28</v>
      </c>
      <c r="I415" s="3" t="s">
        <v>36</v>
      </c>
      <c r="J415" s="3" t="str">
        <f t="shared" si="14"/>
        <v>2019</v>
      </c>
      <c r="K415" s="3"/>
      <c r="L415" s="3" t="s">
        <v>37</v>
      </c>
      <c r="M415" s="16" t="s">
        <v>1352</v>
      </c>
      <c r="N415" s="3"/>
      <c r="O415" s="2" t="s">
        <v>2176</v>
      </c>
      <c r="P415" t="s">
        <v>2177</v>
      </c>
      <c r="Q415" t="s">
        <v>1374</v>
      </c>
      <c r="R415" t="s">
        <v>1375</v>
      </c>
      <c r="S415" t="s">
        <v>2178</v>
      </c>
      <c r="T415" t="s">
        <v>43</v>
      </c>
      <c r="U415">
        <v>17231744</v>
      </c>
      <c r="V415" t="str">
        <f t="shared" si="15"/>
        <v>09/26/2019</v>
      </c>
      <c r="W415" t="s">
        <v>44</v>
      </c>
      <c r="X415" t="s">
        <v>2179</v>
      </c>
    </row>
    <row r="416" spans="1:24" x14ac:dyDescent="0.25">
      <c r="A416" t="s">
        <v>24</v>
      </c>
      <c r="B416" t="s">
        <v>1367</v>
      </c>
      <c r="C416" t="s">
        <v>2180</v>
      </c>
      <c r="D416" t="s">
        <v>35</v>
      </c>
      <c r="E416" t="s">
        <v>28</v>
      </c>
      <c r="F416" t="s">
        <v>28</v>
      </c>
      <c r="I416" s="3" t="s">
        <v>36</v>
      </c>
      <c r="J416" s="3" t="str">
        <f t="shared" si="14"/>
        <v>2019</v>
      </c>
      <c r="K416" s="3"/>
      <c r="L416" s="3" t="s">
        <v>37</v>
      </c>
      <c r="M416" s="12" t="s">
        <v>2136</v>
      </c>
      <c r="N416" s="3"/>
      <c r="O416" s="2" t="s">
        <v>2181</v>
      </c>
      <c r="P416" t="s">
        <v>2182</v>
      </c>
      <c r="Q416" t="s">
        <v>1374</v>
      </c>
      <c r="R416" t="s">
        <v>1375</v>
      </c>
      <c r="S416" t="s">
        <v>2183</v>
      </c>
      <c r="T416" t="s">
        <v>43</v>
      </c>
      <c r="U416">
        <v>17231746</v>
      </c>
      <c r="V416" t="str">
        <f t="shared" si="15"/>
        <v>09/26/2019</v>
      </c>
      <c r="W416" t="s">
        <v>44</v>
      </c>
    </row>
    <row r="417" spans="1:24" x14ac:dyDescent="0.25">
      <c r="A417" t="s">
        <v>24</v>
      </c>
      <c r="B417" s="7" t="s">
        <v>1367</v>
      </c>
      <c r="C417" s="7" t="s">
        <v>1708</v>
      </c>
      <c r="D417" s="7" t="s">
        <v>35</v>
      </c>
      <c r="E417" s="7" t="s">
        <v>28</v>
      </c>
      <c r="F417" s="7" t="s">
        <v>28</v>
      </c>
      <c r="G417" s="7"/>
      <c r="H417" s="7"/>
      <c r="I417" s="13" t="s">
        <v>36</v>
      </c>
      <c r="J417" s="13" t="str">
        <f t="shared" si="14"/>
        <v>2019</v>
      </c>
      <c r="K417" s="13"/>
      <c r="L417" s="13"/>
      <c r="M417" s="13" t="s">
        <v>37</v>
      </c>
      <c r="N417" s="13"/>
      <c r="O417" s="14" t="s">
        <v>2184</v>
      </c>
      <c r="P417" s="7" t="s">
        <v>2185</v>
      </c>
      <c r="Q417" s="7" t="s">
        <v>1374</v>
      </c>
      <c r="R417" s="7" t="s">
        <v>1375</v>
      </c>
      <c r="S417" s="7" t="s">
        <v>2186</v>
      </c>
      <c r="T417" s="7" t="s">
        <v>43</v>
      </c>
      <c r="U417" s="7">
        <v>17231745</v>
      </c>
      <c r="V417" s="7" t="str">
        <f t="shared" si="15"/>
        <v>09/26/2019</v>
      </c>
      <c r="W417" s="7" t="s">
        <v>44</v>
      </c>
      <c r="X417" s="7" t="s">
        <v>2187</v>
      </c>
    </row>
    <row r="418" spans="1:24" x14ac:dyDescent="0.25">
      <c r="A418" t="s">
        <v>24</v>
      </c>
      <c r="B418" t="s">
        <v>1367</v>
      </c>
      <c r="C418" t="s">
        <v>1648</v>
      </c>
      <c r="D418" t="s">
        <v>35</v>
      </c>
      <c r="E418" t="s">
        <v>28</v>
      </c>
      <c r="F418" t="s">
        <v>28</v>
      </c>
      <c r="I418" s="3" t="s">
        <v>36</v>
      </c>
      <c r="J418" s="3" t="str">
        <f t="shared" si="14"/>
        <v>2019</v>
      </c>
      <c r="K418" s="3"/>
      <c r="L418" s="3" t="s">
        <v>37</v>
      </c>
      <c r="M418" s="16" t="s">
        <v>2188</v>
      </c>
      <c r="N418" s="3"/>
      <c r="O418" s="2" t="s">
        <v>2189</v>
      </c>
      <c r="P418" t="s">
        <v>2190</v>
      </c>
      <c r="Q418" t="s">
        <v>1374</v>
      </c>
      <c r="R418" t="s">
        <v>1375</v>
      </c>
      <c r="S418" t="s">
        <v>2191</v>
      </c>
      <c r="T418" t="s">
        <v>43</v>
      </c>
      <c r="U418">
        <v>17231748</v>
      </c>
      <c r="V418" t="str">
        <f t="shared" si="15"/>
        <v>09/26/2019</v>
      </c>
      <c r="W418" t="s">
        <v>44</v>
      </c>
      <c r="X418" t="s">
        <v>2192</v>
      </c>
    </row>
    <row r="419" spans="1:24" x14ac:dyDescent="0.25">
      <c r="A419" t="s">
        <v>24</v>
      </c>
      <c r="B419" s="7" t="s">
        <v>1367</v>
      </c>
      <c r="C419" s="7" t="s">
        <v>2193</v>
      </c>
      <c r="D419" s="7" t="s">
        <v>35</v>
      </c>
      <c r="E419" s="7" t="s">
        <v>28</v>
      </c>
      <c r="F419" s="7" t="s">
        <v>28</v>
      </c>
      <c r="G419" s="7"/>
      <c r="H419" s="7"/>
      <c r="I419" s="13" t="s">
        <v>36</v>
      </c>
      <c r="J419" s="13" t="str">
        <f t="shared" si="14"/>
        <v>2019</v>
      </c>
      <c r="K419" s="13"/>
      <c r="L419" s="13"/>
      <c r="M419" s="13" t="s">
        <v>37</v>
      </c>
      <c r="N419" s="13"/>
      <c r="O419" s="14" t="s">
        <v>2194</v>
      </c>
      <c r="P419" s="7" t="s">
        <v>2195</v>
      </c>
      <c r="Q419" s="7" t="s">
        <v>1374</v>
      </c>
      <c r="R419" s="7" t="s">
        <v>1375</v>
      </c>
      <c r="S419" s="7" t="s">
        <v>2196</v>
      </c>
      <c r="T419" s="7" t="s">
        <v>43</v>
      </c>
      <c r="U419" s="7">
        <v>17231747</v>
      </c>
      <c r="V419" s="7" t="str">
        <f t="shared" si="15"/>
        <v>09/26/2019</v>
      </c>
      <c r="W419" s="7" t="s">
        <v>44</v>
      </c>
      <c r="X419" s="7" t="s">
        <v>2197</v>
      </c>
    </row>
    <row r="420" spans="1:24" x14ac:dyDescent="0.25">
      <c r="A420" t="s">
        <v>24</v>
      </c>
      <c r="B420" t="s">
        <v>1367</v>
      </c>
      <c r="C420" t="s">
        <v>1700</v>
      </c>
      <c r="D420" t="s">
        <v>35</v>
      </c>
      <c r="E420" t="s">
        <v>28</v>
      </c>
      <c r="F420" t="s">
        <v>28</v>
      </c>
      <c r="I420" s="3" t="s">
        <v>36</v>
      </c>
      <c r="J420" s="3" t="str">
        <f t="shared" si="14"/>
        <v>2019</v>
      </c>
      <c r="K420" s="3"/>
      <c r="L420" s="3" t="s">
        <v>37</v>
      </c>
      <c r="M420" s="16" t="s">
        <v>281</v>
      </c>
      <c r="N420" s="3"/>
      <c r="O420" s="2" t="s">
        <v>2198</v>
      </c>
      <c r="P420" t="s">
        <v>2199</v>
      </c>
      <c r="Q420" t="s">
        <v>1374</v>
      </c>
      <c r="R420" t="s">
        <v>1375</v>
      </c>
      <c r="S420" t="s">
        <v>2200</v>
      </c>
      <c r="T420" t="s">
        <v>43</v>
      </c>
      <c r="U420">
        <v>17231751</v>
      </c>
      <c r="V420" t="str">
        <f t="shared" si="15"/>
        <v>09/26/2019</v>
      </c>
      <c r="W420" t="s">
        <v>44</v>
      </c>
    </row>
    <row r="421" spans="1:24" x14ac:dyDescent="0.25">
      <c r="A421" t="s">
        <v>24</v>
      </c>
      <c r="B421" s="7" t="s">
        <v>1367</v>
      </c>
      <c r="C421" s="7" t="s">
        <v>2201</v>
      </c>
      <c r="D421" s="7" t="s">
        <v>35</v>
      </c>
      <c r="E421" s="7" t="s">
        <v>28</v>
      </c>
      <c r="F421" s="7" t="s">
        <v>28</v>
      </c>
      <c r="G421" s="7"/>
      <c r="H421" s="7"/>
      <c r="I421" s="13" t="s">
        <v>36</v>
      </c>
      <c r="J421" s="13" t="str">
        <f t="shared" si="14"/>
        <v>2019</v>
      </c>
      <c r="K421" s="13"/>
      <c r="L421" s="13"/>
      <c r="M421" s="13" t="s">
        <v>37</v>
      </c>
      <c r="N421" s="13"/>
      <c r="O421" s="14" t="s">
        <v>2202</v>
      </c>
      <c r="P421" s="7" t="s">
        <v>2203</v>
      </c>
      <c r="Q421" s="7" t="s">
        <v>1374</v>
      </c>
      <c r="R421" s="7" t="s">
        <v>1375</v>
      </c>
      <c r="S421" s="7" t="s">
        <v>2204</v>
      </c>
      <c r="T421" s="7" t="s">
        <v>43</v>
      </c>
      <c r="U421" s="7">
        <v>17231749</v>
      </c>
      <c r="V421" s="7" t="str">
        <f t="shared" si="15"/>
        <v>09/26/2019</v>
      </c>
      <c r="W421" s="7" t="s">
        <v>44</v>
      </c>
      <c r="X421" s="7" t="s">
        <v>2205</v>
      </c>
    </row>
    <row r="422" spans="1:24" x14ac:dyDescent="0.25">
      <c r="A422" t="s">
        <v>24</v>
      </c>
      <c r="B422" t="s">
        <v>1367</v>
      </c>
      <c r="C422" t="s">
        <v>2206</v>
      </c>
      <c r="D422" t="s">
        <v>35</v>
      </c>
      <c r="E422" t="s">
        <v>28</v>
      </c>
      <c r="F422" t="s">
        <v>28</v>
      </c>
      <c r="I422" s="3" t="s">
        <v>36</v>
      </c>
      <c r="J422" s="3" t="str">
        <f t="shared" si="14"/>
        <v>2019</v>
      </c>
      <c r="K422" s="3"/>
      <c r="L422" s="3" t="s">
        <v>37</v>
      </c>
      <c r="M422" s="16" t="s">
        <v>2025</v>
      </c>
      <c r="N422" s="3"/>
      <c r="O422" s="2" t="s">
        <v>2207</v>
      </c>
      <c r="P422" t="s">
        <v>2208</v>
      </c>
      <c r="Q422" t="s">
        <v>1374</v>
      </c>
      <c r="R422" t="s">
        <v>1375</v>
      </c>
      <c r="S422" t="s">
        <v>2209</v>
      </c>
      <c r="T422" t="s">
        <v>43</v>
      </c>
      <c r="U422">
        <v>17231759</v>
      </c>
      <c r="V422" t="str">
        <f t="shared" si="15"/>
        <v>09/26/2019</v>
      </c>
      <c r="W422" t="s">
        <v>44</v>
      </c>
      <c r="X422" t="s">
        <v>2210</v>
      </c>
    </row>
    <row r="423" spans="1:24" x14ac:dyDescent="0.25">
      <c r="A423" t="s">
        <v>24</v>
      </c>
      <c r="B423" s="7" t="s">
        <v>1367</v>
      </c>
      <c r="C423" s="7" t="s">
        <v>2211</v>
      </c>
      <c r="D423" s="7" t="s">
        <v>35</v>
      </c>
      <c r="E423" s="7" t="s">
        <v>28</v>
      </c>
      <c r="F423" s="7" t="s">
        <v>28</v>
      </c>
      <c r="G423" s="7"/>
      <c r="H423" s="7"/>
      <c r="I423" s="13" t="s">
        <v>36</v>
      </c>
      <c r="J423" s="13" t="str">
        <f t="shared" si="14"/>
        <v>2019</v>
      </c>
      <c r="K423" s="13"/>
      <c r="L423" s="13"/>
      <c r="M423" s="13" t="s">
        <v>37</v>
      </c>
      <c r="N423" s="13"/>
      <c r="O423" s="14" t="s">
        <v>2212</v>
      </c>
      <c r="P423" s="7" t="s">
        <v>2213</v>
      </c>
      <c r="Q423" s="7" t="s">
        <v>1374</v>
      </c>
      <c r="R423" s="7" t="s">
        <v>1375</v>
      </c>
      <c r="S423" s="7" t="s">
        <v>2214</v>
      </c>
      <c r="T423" s="7" t="s">
        <v>43</v>
      </c>
      <c r="U423" s="7">
        <v>17231752</v>
      </c>
      <c r="V423" s="7" t="str">
        <f t="shared" si="15"/>
        <v>09/26/2019</v>
      </c>
      <c r="W423" s="7" t="s">
        <v>44</v>
      </c>
      <c r="X423" s="7" t="s">
        <v>2215</v>
      </c>
    </row>
    <row r="424" spans="1:24" x14ac:dyDescent="0.25">
      <c r="A424" t="s">
        <v>24</v>
      </c>
      <c r="B424" s="7" t="s">
        <v>1367</v>
      </c>
      <c r="C424" s="7" t="s">
        <v>2216</v>
      </c>
      <c r="D424" s="7" t="s">
        <v>35</v>
      </c>
      <c r="E424" s="7" t="s">
        <v>28</v>
      </c>
      <c r="F424" s="7" t="s">
        <v>28</v>
      </c>
      <c r="G424" s="7"/>
      <c r="H424" s="7"/>
      <c r="I424" s="13" t="s">
        <v>36</v>
      </c>
      <c r="J424" s="13" t="str">
        <f t="shared" si="14"/>
        <v>2019</v>
      </c>
      <c r="K424" s="13"/>
      <c r="L424" s="13"/>
      <c r="M424" s="13" t="s">
        <v>37</v>
      </c>
      <c r="N424" s="13"/>
      <c r="O424" s="14" t="s">
        <v>2217</v>
      </c>
      <c r="P424" s="7" t="s">
        <v>2218</v>
      </c>
      <c r="Q424" s="7" t="s">
        <v>1374</v>
      </c>
      <c r="R424" s="7" t="s">
        <v>1375</v>
      </c>
      <c r="S424" s="7" t="s">
        <v>2219</v>
      </c>
      <c r="T424" s="7" t="s">
        <v>43</v>
      </c>
      <c r="U424" s="7">
        <v>17231753</v>
      </c>
      <c r="V424" s="7" t="str">
        <f t="shared" si="15"/>
        <v>09/26/2019</v>
      </c>
      <c r="W424" s="7" t="s">
        <v>44</v>
      </c>
      <c r="X424" s="7"/>
    </row>
    <row r="425" spans="1:24" x14ac:dyDescent="0.25">
      <c r="A425" t="s">
        <v>24</v>
      </c>
      <c r="B425" s="7" t="s">
        <v>1367</v>
      </c>
      <c r="C425" s="7" t="s">
        <v>2220</v>
      </c>
      <c r="D425" s="7" t="s">
        <v>35</v>
      </c>
      <c r="E425" s="7" t="s">
        <v>28</v>
      </c>
      <c r="F425" s="7" t="s">
        <v>28</v>
      </c>
      <c r="G425" s="7"/>
      <c r="H425" s="7"/>
      <c r="I425" s="13" t="s">
        <v>36</v>
      </c>
      <c r="J425" s="13" t="str">
        <f t="shared" si="14"/>
        <v>2019</v>
      </c>
      <c r="K425" s="13"/>
      <c r="L425" s="13"/>
      <c r="M425" s="13" t="s">
        <v>37</v>
      </c>
      <c r="N425" s="13"/>
      <c r="O425" s="14" t="s">
        <v>2221</v>
      </c>
      <c r="P425" s="7" t="s">
        <v>2222</v>
      </c>
      <c r="Q425" s="7" t="s">
        <v>1374</v>
      </c>
      <c r="R425" s="7" t="s">
        <v>1375</v>
      </c>
      <c r="S425" s="7" t="s">
        <v>2223</v>
      </c>
      <c r="T425" s="7" t="s">
        <v>43</v>
      </c>
      <c r="U425" s="7">
        <v>17231754</v>
      </c>
      <c r="V425" s="7" t="str">
        <f t="shared" si="15"/>
        <v>09/26/2019</v>
      </c>
      <c r="W425" s="7" t="s">
        <v>44</v>
      </c>
      <c r="X425" s="7"/>
    </row>
    <row r="426" spans="1:24" x14ac:dyDescent="0.25">
      <c r="A426" t="s">
        <v>24</v>
      </c>
      <c r="B426" s="7" t="s">
        <v>1367</v>
      </c>
      <c r="C426" s="7" t="s">
        <v>2224</v>
      </c>
      <c r="D426" s="7" t="s">
        <v>35</v>
      </c>
      <c r="E426" s="7" t="s">
        <v>28</v>
      </c>
      <c r="F426" s="7" t="s">
        <v>28</v>
      </c>
      <c r="G426" s="7"/>
      <c r="H426" s="7"/>
      <c r="I426" s="13" t="s">
        <v>36</v>
      </c>
      <c r="J426" s="13" t="str">
        <f t="shared" si="14"/>
        <v>2019</v>
      </c>
      <c r="K426" s="13"/>
      <c r="L426" s="13"/>
      <c r="M426" s="13" t="s">
        <v>37</v>
      </c>
      <c r="N426" s="13"/>
      <c r="O426" s="14" t="s">
        <v>2225</v>
      </c>
      <c r="P426" s="7" t="s">
        <v>2226</v>
      </c>
      <c r="Q426" s="7" t="s">
        <v>1374</v>
      </c>
      <c r="R426" s="7" t="s">
        <v>1375</v>
      </c>
      <c r="S426" s="7" t="s">
        <v>2227</v>
      </c>
      <c r="T426" s="7" t="s">
        <v>43</v>
      </c>
      <c r="U426" s="7">
        <v>17231756</v>
      </c>
      <c r="V426" s="7" t="str">
        <f t="shared" si="15"/>
        <v>09/26/2019</v>
      </c>
      <c r="W426" s="7" t="s">
        <v>44</v>
      </c>
      <c r="X426" s="7"/>
    </row>
    <row r="427" spans="1:24" x14ac:dyDescent="0.25">
      <c r="A427" t="s">
        <v>24</v>
      </c>
      <c r="B427" s="7" t="s">
        <v>1367</v>
      </c>
      <c r="C427" s="7" t="s">
        <v>2228</v>
      </c>
      <c r="D427" s="7" t="s">
        <v>35</v>
      </c>
      <c r="E427" s="7" t="s">
        <v>28</v>
      </c>
      <c r="F427" s="7" t="s">
        <v>28</v>
      </c>
      <c r="G427" s="7"/>
      <c r="H427" s="7"/>
      <c r="I427" s="13" t="s">
        <v>36</v>
      </c>
      <c r="J427" s="13" t="str">
        <f t="shared" si="14"/>
        <v>2019</v>
      </c>
      <c r="K427" s="13"/>
      <c r="L427" s="13"/>
      <c r="M427" s="13" t="s">
        <v>37</v>
      </c>
      <c r="N427" s="13"/>
      <c r="O427" s="14" t="s">
        <v>2229</v>
      </c>
      <c r="P427" s="7" t="s">
        <v>2230</v>
      </c>
      <c r="Q427" s="7" t="s">
        <v>1374</v>
      </c>
      <c r="R427" s="7" t="s">
        <v>1375</v>
      </c>
      <c r="S427" s="7" t="s">
        <v>2231</v>
      </c>
      <c r="T427" s="7" t="s">
        <v>43</v>
      </c>
      <c r="U427" s="7">
        <v>17231757</v>
      </c>
      <c r="V427" s="7" t="str">
        <f t="shared" si="15"/>
        <v>09/26/2019</v>
      </c>
      <c r="W427" s="7" t="s">
        <v>44</v>
      </c>
      <c r="X427" s="7" t="s">
        <v>2232</v>
      </c>
    </row>
    <row r="428" spans="1:24" x14ac:dyDescent="0.25">
      <c r="A428" t="s">
        <v>24</v>
      </c>
      <c r="B428" s="7" t="s">
        <v>1367</v>
      </c>
      <c r="C428" s="7" t="s">
        <v>2233</v>
      </c>
      <c r="D428" s="7" t="s">
        <v>35</v>
      </c>
      <c r="E428" s="7" t="s">
        <v>28</v>
      </c>
      <c r="F428" s="7" t="s">
        <v>28</v>
      </c>
      <c r="G428" s="7"/>
      <c r="H428" s="7"/>
      <c r="I428" s="13" t="s">
        <v>36</v>
      </c>
      <c r="J428" s="13" t="str">
        <f t="shared" si="14"/>
        <v>2019</v>
      </c>
      <c r="K428" s="13"/>
      <c r="L428" s="13"/>
      <c r="M428" s="13" t="s">
        <v>37</v>
      </c>
      <c r="N428" s="13"/>
      <c r="O428" s="14" t="s">
        <v>2234</v>
      </c>
      <c r="P428" s="7" t="s">
        <v>2235</v>
      </c>
      <c r="Q428" s="7" t="s">
        <v>1374</v>
      </c>
      <c r="R428" s="7" t="s">
        <v>1375</v>
      </c>
      <c r="S428" s="7" t="s">
        <v>2236</v>
      </c>
      <c r="T428" s="7" t="s">
        <v>43</v>
      </c>
      <c r="U428" s="7">
        <v>17231758</v>
      </c>
      <c r="V428" s="7" t="str">
        <f t="shared" si="15"/>
        <v>09/26/2019</v>
      </c>
      <c r="W428" s="7" t="s">
        <v>44</v>
      </c>
      <c r="X428" s="7" t="s">
        <v>2237</v>
      </c>
    </row>
    <row r="429" spans="1:24" x14ac:dyDescent="0.25">
      <c r="A429" t="s">
        <v>24</v>
      </c>
      <c r="B429" t="s">
        <v>1367</v>
      </c>
      <c r="C429" t="s">
        <v>2238</v>
      </c>
      <c r="D429" t="s">
        <v>35</v>
      </c>
      <c r="E429" t="s">
        <v>28</v>
      </c>
      <c r="F429" t="s">
        <v>28</v>
      </c>
      <c r="I429" s="3" t="s">
        <v>36</v>
      </c>
      <c r="J429" s="3" t="str">
        <f t="shared" si="14"/>
        <v>2019</v>
      </c>
      <c r="K429" s="3"/>
      <c r="L429" s="3" t="s">
        <v>37</v>
      </c>
      <c r="M429" s="16" t="s">
        <v>1352</v>
      </c>
      <c r="N429" s="3"/>
      <c r="O429" s="2" t="s">
        <v>2239</v>
      </c>
      <c r="P429" t="s">
        <v>2240</v>
      </c>
      <c r="Q429" t="s">
        <v>1374</v>
      </c>
      <c r="R429" t="s">
        <v>1375</v>
      </c>
      <c r="S429" t="s">
        <v>2241</v>
      </c>
      <c r="T429" t="s">
        <v>43</v>
      </c>
      <c r="U429">
        <v>17231760</v>
      </c>
      <c r="V429" t="str">
        <f t="shared" si="15"/>
        <v>09/26/2019</v>
      </c>
      <c r="W429" t="s">
        <v>44</v>
      </c>
    </row>
    <row r="430" spans="1:24" x14ac:dyDescent="0.25">
      <c r="A430" t="s">
        <v>24</v>
      </c>
      <c r="B430" t="s">
        <v>1367</v>
      </c>
      <c r="C430" t="s">
        <v>1497</v>
      </c>
      <c r="D430" t="s">
        <v>35</v>
      </c>
      <c r="E430" t="s">
        <v>28</v>
      </c>
      <c r="F430" t="s">
        <v>28</v>
      </c>
      <c r="I430" s="3" t="s">
        <v>2242</v>
      </c>
      <c r="J430" s="3" t="str">
        <f t="shared" si="14"/>
        <v>2020</v>
      </c>
      <c r="K430" s="3"/>
      <c r="L430" s="16" t="s">
        <v>1352</v>
      </c>
      <c r="M430" s="16" t="s">
        <v>2108</v>
      </c>
      <c r="N430" s="3"/>
      <c r="O430" s="2" t="s">
        <v>2243</v>
      </c>
      <c r="P430" t="s">
        <v>2244</v>
      </c>
      <c r="Q430" t="s">
        <v>1374</v>
      </c>
      <c r="R430" t="s">
        <v>1375</v>
      </c>
      <c r="S430" t="s">
        <v>2245</v>
      </c>
      <c r="T430" t="s">
        <v>43</v>
      </c>
      <c r="U430">
        <v>17231791</v>
      </c>
      <c r="V430" t="str">
        <f t="shared" si="15"/>
        <v>10/20/2020</v>
      </c>
      <c r="W430" t="s">
        <v>44</v>
      </c>
      <c r="X430" t="s">
        <v>2246</v>
      </c>
    </row>
    <row r="431" spans="1:24" hidden="1" x14ac:dyDescent="0.25">
      <c r="A431" t="s">
        <v>24</v>
      </c>
      <c r="B431" t="s">
        <v>1367</v>
      </c>
      <c r="C431" t="s">
        <v>2247</v>
      </c>
      <c r="D431" t="s">
        <v>35</v>
      </c>
      <c r="E431" t="s">
        <v>26</v>
      </c>
      <c r="F431" t="s">
        <v>26</v>
      </c>
      <c r="G431" t="s">
        <v>27</v>
      </c>
      <c r="H431" t="s">
        <v>28</v>
      </c>
      <c r="I431" s="3" t="s">
        <v>36</v>
      </c>
      <c r="J431" s="3" t="str">
        <f t="shared" si="14"/>
        <v>2019</v>
      </c>
      <c r="K431" s="3"/>
      <c r="L431" s="3"/>
      <c r="M431" s="3"/>
      <c r="N431" s="3"/>
      <c r="O431" s="2" t="s">
        <v>2248</v>
      </c>
      <c r="P431" t="s">
        <v>2249</v>
      </c>
      <c r="Q431" t="s">
        <v>1374</v>
      </c>
      <c r="R431" t="s">
        <v>1375</v>
      </c>
      <c r="S431" t="s">
        <v>2250</v>
      </c>
      <c r="T431" t="s">
        <v>43</v>
      </c>
      <c r="U431">
        <v>17231700</v>
      </c>
      <c r="V431" t="str">
        <f t="shared" si="15"/>
        <v>09/26/2019</v>
      </c>
      <c r="W431" t="s">
        <v>44</v>
      </c>
      <c r="X431" t="s">
        <v>2251</v>
      </c>
    </row>
    <row r="432" spans="1:24" hidden="1" x14ac:dyDescent="0.25">
      <c r="A432" t="s">
        <v>24</v>
      </c>
      <c r="B432" s="7" t="s">
        <v>1367</v>
      </c>
      <c r="C432" t="s">
        <v>2252</v>
      </c>
      <c r="D432" t="s">
        <v>35</v>
      </c>
      <c r="E432" t="s">
        <v>26</v>
      </c>
      <c r="F432" t="s">
        <v>26</v>
      </c>
      <c r="G432" t="s">
        <v>27</v>
      </c>
      <c r="H432" t="s">
        <v>28</v>
      </c>
      <c r="I432" s="3" t="s">
        <v>36</v>
      </c>
      <c r="J432" s="3" t="str">
        <f t="shared" si="14"/>
        <v>2019</v>
      </c>
      <c r="K432" s="3"/>
      <c r="L432" s="3"/>
      <c r="M432" s="3"/>
      <c r="N432" s="3"/>
      <c r="O432" s="2" t="s">
        <v>2253</v>
      </c>
      <c r="P432" t="s">
        <v>2254</v>
      </c>
      <c r="Q432" t="s">
        <v>1374</v>
      </c>
      <c r="R432" t="s">
        <v>1375</v>
      </c>
      <c r="S432" t="s">
        <v>2255</v>
      </c>
      <c r="T432" t="s">
        <v>43</v>
      </c>
      <c r="U432">
        <v>17231713</v>
      </c>
      <c r="V432" t="str">
        <f t="shared" si="15"/>
        <v>09/26/2019</v>
      </c>
      <c r="W432" t="s">
        <v>44</v>
      </c>
    </row>
    <row r="433" spans="1:24" hidden="1" x14ac:dyDescent="0.25">
      <c r="A433" t="s">
        <v>24</v>
      </c>
      <c r="B433" s="7" t="s">
        <v>1367</v>
      </c>
      <c r="C433" t="s">
        <v>2256</v>
      </c>
      <c r="D433" t="s">
        <v>107</v>
      </c>
      <c r="E433" t="s">
        <v>26</v>
      </c>
      <c r="F433" t="s">
        <v>26</v>
      </c>
      <c r="G433" t="s">
        <v>27</v>
      </c>
      <c r="H433" t="s">
        <v>28</v>
      </c>
      <c r="I433" s="3" t="s">
        <v>36</v>
      </c>
      <c r="J433" s="3" t="str">
        <f t="shared" si="14"/>
        <v>2019</v>
      </c>
      <c r="K433" s="3"/>
      <c r="L433" s="3"/>
      <c r="M433" s="3"/>
      <c r="N433" s="3"/>
      <c r="O433" s="2" t="s">
        <v>2257</v>
      </c>
      <c r="P433" t="s">
        <v>2258</v>
      </c>
      <c r="Q433" t="s">
        <v>1374</v>
      </c>
      <c r="R433" t="s">
        <v>1375</v>
      </c>
      <c r="S433" t="s">
        <v>2259</v>
      </c>
      <c r="T433" t="s">
        <v>43</v>
      </c>
      <c r="U433">
        <v>17231734</v>
      </c>
      <c r="V433" t="str">
        <f t="shared" si="15"/>
        <v>09/26/2019</v>
      </c>
      <c r="W433" t="s">
        <v>44</v>
      </c>
      <c r="X433" t="s">
        <v>2260</v>
      </c>
    </row>
    <row r="434" spans="1:24" hidden="1" x14ac:dyDescent="0.25">
      <c r="A434" t="s">
        <v>24</v>
      </c>
      <c r="B434" t="s">
        <v>1367</v>
      </c>
      <c r="C434" t="s">
        <v>2261</v>
      </c>
      <c r="D434" t="s">
        <v>35</v>
      </c>
      <c r="E434" t="s">
        <v>26</v>
      </c>
      <c r="F434" t="s">
        <v>26</v>
      </c>
      <c r="G434" t="s">
        <v>27</v>
      </c>
      <c r="H434" t="s">
        <v>28</v>
      </c>
      <c r="I434" s="3" t="s">
        <v>36</v>
      </c>
      <c r="J434" s="3" t="str">
        <f t="shared" si="14"/>
        <v>2019</v>
      </c>
      <c r="K434" s="3"/>
      <c r="L434" s="3"/>
      <c r="M434" s="3"/>
      <c r="N434" s="3"/>
      <c r="O434" s="2" t="s">
        <v>2262</v>
      </c>
      <c r="P434" t="s">
        <v>2263</v>
      </c>
      <c r="Q434" t="s">
        <v>1374</v>
      </c>
      <c r="R434" t="s">
        <v>1375</v>
      </c>
      <c r="S434" t="s">
        <v>2264</v>
      </c>
      <c r="T434" t="s">
        <v>43</v>
      </c>
      <c r="U434">
        <v>17231739</v>
      </c>
      <c r="V434" t="str">
        <f t="shared" si="15"/>
        <v>09/26/2019</v>
      </c>
      <c r="W434" t="s">
        <v>44</v>
      </c>
    </row>
    <row r="435" spans="1:24" hidden="1" x14ac:dyDescent="0.25">
      <c r="A435" t="s">
        <v>24</v>
      </c>
      <c r="B435" t="s">
        <v>1367</v>
      </c>
      <c r="C435" t="s">
        <v>2265</v>
      </c>
      <c r="D435" t="s">
        <v>35</v>
      </c>
      <c r="E435" t="s">
        <v>26</v>
      </c>
      <c r="F435" t="s">
        <v>26</v>
      </c>
      <c r="G435" t="s">
        <v>27</v>
      </c>
      <c r="H435" t="s">
        <v>28</v>
      </c>
      <c r="I435" s="3" t="s">
        <v>36</v>
      </c>
      <c r="J435" s="3" t="str">
        <f t="shared" si="14"/>
        <v>2019</v>
      </c>
      <c r="K435" s="3"/>
      <c r="L435" s="3"/>
      <c r="M435" s="3"/>
      <c r="N435" s="3"/>
      <c r="O435" s="2" t="s">
        <v>2266</v>
      </c>
      <c r="P435" t="s">
        <v>2267</v>
      </c>
      <c r="Q435" t="s">
        <v>1374</v>
      </c>
      <c r="R435" t="s">
        <v>1375</v>
      </c>
      <c r="S435" t="s">
        <v>2268</v>
      </c>
      <c r="T435" t="s">
        <v>43</v>
      </c>
      <c r="U435">
        <v>17231750</v>
      </c>
      <c r="V435" t="str">
        <f t="shared" si="15"/>
        <v>09/26/2019</v>
      </c>
      <c r="W435" t="s">
        <v>44</v>
      </c>
      <c r="X435" t="s">
        <v>2269</v>
      </c>
    </row>
    <row r="436" spans="1:24" x14ac:dyDescent="0.25">
      <c r="A436" t="s">
        <v>24</v>
      </c>
      <c r="B436" t="s">
        <v>1367</v>
      </c>
      <c r="C436" t="s">
        <v>2270</v>
      </c>
      <c r="D436" t="s">
        <v>35</v>
      </c>
      <c r="E436" t="s">
        <v>28</v>
      </c>
      <c r="F436" t="s">
        <v>28</v>
      </c>
      <c r="I436" s="3" t="s">
        <v>2271</v>
      </c>
      <c r="J436" s="3" t="str">
        <f t="shared" si="14"/>
        <v>2021</v>
      </c>
      <c r="K436" s="3"/>
      <c r="L436" s="3" t="s">
        <v>37</v>
      </c>
      <c r="M436" s="16" t="s">
        <v>2272</v>
      </c>
      <c r="N436" s="3"/>
      <c r="O436" s="2" t="s">
        <v>2273</v>
      </c>
      <c r="P436" t="s">
        <v>2274</v>
      </c>
      <c r="Q436" t="s">
        <v>1374</v>
      </c>
      <c r="R436" t="s">
        <v>1375</v>
      </c>
      <c r="S436" t="s">
        <v>2275</v>
      </c>
      <c r="T436" t="s">
        <v>43</v>
      </c>
      <c r="U436">
        <v>17231829</v>
      </c>
      <c r="V436" t="str">
        <f t="shared" si="15"/>
        <v>05/21/2021</v>
      </c>
      <c r="W436" t="s">
        <v>44</v>
      </c>
    </row>
    <row r="437" spans="1:24" hidden="1" x14ac:dyDescent="0.25">
      <c r="A437" t="s">
        <v>24</v>
      </c>
      <c r="B437" t="s">
        <v>1367</v>
      </c>
      <c r="C437" t="s">
        <v>2276</v>
      </c>
      <c r="D437" t="s">
        <v>35</v>
      </c>
      <c r="E437" t="s">
        <v>26</v>
      </c>
      <c r="F437" t="s">
        <v>26</v>
      </c>
      <c r="G437" t="s">
        <v>27</v>
      </c>
      <c r="H437" t="s">
        <v>28</v>
      </c>
      <c r="I437" s="3" t="s">
        <v>36</v>
      </c>
      <c r="J437" s="3" t="str">
        <f t="shared" si="14"/>
        <v>2019</v>
      </c>
      <c r="K437" s="3"/>
      <c r="L437" s="3"/>
      <c r="M437" s="3"/>
      <c r="N437" s="3"/>
      <c r="O437" s="2" t="s">
        <v>2277</v>
      </c>
      <c r="P437" t="s">
        <v>2278</v>
      </c>
      <c r="Q437" t="s">
        <v>1374</v>
      </c>
      <c r="R437" t="s">
        <v>1375</v>
      </c>
      <c r="S437" t="s">
        <v>2279</v>
      </c>
      <c r="T437" t="s">
        <v>43</v>
      </c>
      <c r="U437">
        <v>17231755</v>
      </c>
      <c r="V437" t="str">
        <f t="shared" si="15"/>
        <v>09/26/2019</v>
      </c>
      <c r="W437" t="s">
        <v>44</v>
      </c>
    </row>
    <row r="438" spans="1:24" x14ac:dyDescent="0.25">
      <c r="A438" t="s">
        <v>24</v>
      </c>
      <c r="B438" s="17" t="s">
        <v>1007</v>
      </c>
      <c r="C438" s="17" t="s">
        <v>2280</v>
      </c>
      <c r="D438" s="17" t="s">
        <v>107</v>
      </c>
      <c r="E438" s="17" t="s">
        <v>26</v>
      </c>
      <c r="F438" s="17" t="s">
        <v>28</v>
      </c>
      <c r="G438" s="17" t="s">
        <v>1009</v>
      </c>
      <c r="H438" s="17" t="s">
        <v>280</v>
      </c>
      <c r="I438" s="18" t="s">
        <v>36</v>
      </c>
      <c r="J438" s="18" t="str">
        <f t="shared" si="14"/>
        <v>2019</v>
      </c>
      <c r="K438" s="18" t="s">
        <v>1009</v>
      </c>
      <c r="L438" s="18" t="s">
        <v>37</v>
      </c>
      <c r="M438" s="18" t="s">
        <v>37</v>
      </c>
      <c r="N438" s="18"/>
      <c r="O438" s="19" t="s">
        <v>2281</v>
      </c>
      <c r="P438" s="17" t="s">
        <v>2282</v>
      </c>
      <c r="Q438" s="17" t="s">
        <v>1013</v>
      </c>
      <c r="R438" s="17" t="s">
        <v>1014</v>
      </c>
      <c r="S438" s="17" t="s">
        <v>2283</v>
      </c>
      <c r="T438" s="17" t="s">
        <v>43</v>
      </c>
      <c r="U438" s="17">
        <v>84520</v>
      </c>
      <c r="V438" s="17" t="str">
        <f t="shared" si="15"/>
        <v>09/26/2019</v>
      </c>
      <c r="W438" s="17" t="s">
        <v>44</v>
      </c>
      <c r="X438" s="17"/>
    </row>
    <row r="439" spans="1:24" x14ac:dyDescent="0.25">
      <c r="A439" t="s">
        <v>24</v>
      </c>
      <c r="B439" t="s">
        <v>1367</v>
      </c>
      <c r="C439" t="s">
        <v>2284</v>
      </c>
      <c r="D439" t="s">
        <v>35</v>
      </c>
      <c r="E439" t="s">
        <v>28</v>
      </c>
      <c r="F439" t="s">
        <v>28</v>
      </c>
      <c r="I439" s="3" t="s">
        <v>2285</v>
      </c>
      <c r="J439" s="3" t="str">
        <f t="shared" si="14"/>
        <v>2021</v>
      </c>
      <c r="K439" s="3"/>
      <c r="L439" s="3" t="s">
        <v>37</v>
      </c>
      <c r="M439" s="16" t="s">
        <v>2108</v>
      </c>
      <c r="N439" s="3"/>
      <c r="O439" s="2" t="s">
        <v>2286</v>
      </c>
      <c r="P439" t="s">
        <v>2287</v>
      </c>
      <c r="Q439" t="s">
        <v>1374</v>
      </c>
      <c r="R439" t="s">
        <v>1375</v>
      </c>
      <c r="S439" t="s">
        <v>2288</v>
      </c>
      <c r="T439" t="s">
        <v>43</v>
      </c>
      <c r="U439">
        <v>17231830</v>
      </c>
      <c r="V439" t="str">
        <f t="shared" si="15"/>
        <v>07/20/2021</v>
      </c>
      <c r="W439" t="s">
        <v>44</v>
      </c>
    </row>
    <row r="440" spans="1:24" x14ac:dyDescent="0.25">
      <c r="A440" t="s">
        <v>24</v>
      </c>
      <c r="B440" t="s">
        <v>1367</v>
      </c>
      <c r="C440" t="s">
        <v>2289</v>
      </c>
      <c r="D440" t="s">
        <v>35</v>
      </c>
      <c r="E440" t="s">
        <v>28</v>
      </c>
      <c r="F440" t="s">
        <v>28</v>
      </c>
      <c r="I440" s="3" t="s">
        <v>2290</v>
      </c>
      <c r="J440" s="3" t="str">
        <f t="shared" si="14"/>
        <v>2021</v>
      </c>
      <c r="K440" s="3" t="s">
        <v>1387</v>
      </c>
      <c r="L440" s="12" t="s">
        <v>71</v>
      </c>
      <c r="M440" s="16" t="s">
        <v>2291</v>
      </c>
      <c r="N440" s="3" t="s">
        <v>2109</v>
      </c>
      <c r="O440" s="2" t="s">
        <v>2292</v>
      </c>
      <c r="P440" t="s">
        <v>2293</v>
      </c>
      <c r="Q440" t="s">
        <v>1374</v>
      </c>
      <c r="R440" t="s">
        <v>1375</v>
      </c>
      <c r="S440" t="s">
        <v>2294</v>
      </c>
      <c r="T440" t="s">
        <v>43</v>
      </c>
      <c r="U440">
        <v>17231848</v>
      </c>
      <c r="V440" t="str">
        <f t="shared" si="15"/>
        <v>10/06/2021</v>
      </c>
      <c r="W440" t="s">
        <v>44</v>
      </c>
      <c r="X440" t="s">
        <v>2295</v>
      </c>
    </row>
    <row r="441" spans="1:24" x14ac:dyDescent="0.25">
      <c r="A441" t="s">
        <v>24</v>
      </c>
      <c r="B441" t="s">
        <v>1367</v>
      </c>
      <c r="C441" t="s">
        <v>1732</v>
      </c>
      <c r="D441" t="s">
        <v>35</v>
      </c>
      <c r="E441" t="s">
        <v>28</v>
      </c>
      <c r="F441" t="s">
        <v>28</v>
      </c>
      <c r="I441" s="3" t="s">
        <v>2296</v>
      </c>
      <c r="J441" s="3" t="str">
        <f t="shared" si="14"/>
        <v>2022</v>
      </c>
      <c r="K441" s="3"/>
      <c r="L441" s="3" t="s">
        <v>37</v>
      </c>
      <c r="M441" s="16" t="s">
        <v>2297</v>
      </c>
      <c r="N441" s="3"/>
      <c r="O441" s="2" t="s">
        <v>2298</v>
      </c>
      <c r="P441" t="s">
        <v>2299</v>
      </c>
      <c r="Q441" t="s">
        <v>1374</v>
      </c>
      <c r="R441" t="s">
        <v>1375</v>
      </c>
      <c r="S441" t="s">
        <v>2300</v>
      </c>
      <c r="T441" t="s">
        <v>43</v>
      </c>
      <c r="U441">
        <v>17231860</v>
      </c>
      <c r="V441" t="str">
        <f t="shared" si="15"/>
        <v>12/05/2022</v>
      </c>
      <c r="W441" t="s">
        <v>44</v>
      </c>
    </row>
    <row r="442" spans="1:24" x14ac:dyDescent="0.25">
      <c r="A442" t="s">
        <v>24</v>
      </c>
      <c r="B442" s="17" t="s">
        <v>1007</v>
      </c>
      <c r="C442" s="17" t="s">
        <v>2301</v>
      </c>
      <c r="D442" s="17" t="s">
        <v>107</v>
      </c>
      <c r="E442" s="17" t="s">
        <v>26</v>
      </c>
      <c r="F442" s="17" t="s">
        <v>28</v>
      </c>
      <c r="G442" s="17" t="s">
        <v>1009</v>
      </c>
      <c r="H442" s="17" t="s">
        <v>280</v>
      </c>
      <c r="I442" s="18" t="s">
        <v>2302</v>
      </c>
      <c r="J442" s="18" t="str">
        <f t="shared" si="14"/>
        <v>2019</v>
      </c>
      <c r="K442" s="18" t="s">
        <v>1009</v>
      </c>
      <c r="L442" s="18" t="s">
        <v>37</v>
      </c>
      <c r="M442" s="18" t="s">
        <v>37</v>
      </c>
      <c r="N442" s="18"/>
      <c r="O442" s="19" t="s">
        <v>2303</v>
      </c>
      <c r="P442" s="17" t="s">
        <v>2304</v>
      </c>
      <c r="Q442" s="17" t="s">
        <v>1013</v>
      </c>
      <c r="R442" s="17" t="s">
        <v>1014</v>
      </c>
      <c r="S442" s="17" t="s">
        <v>2305</v>
      </c>
      <c r="T442" s="17" t="s">
        <v>43</v>
      </c>
      <c r="U442" s="17">
        <v>84577</v>
      </c>
      <c r="V442" s="17" t="str">
        <f t="shared" si="15"/>
        <v>10/17/2019</v>
      </c>
      <c r="W442" s="17" t="s">
        <v>44</v>
      </c>
      <c r="X442" s="17"/>
    </row>
    <row r="443" spans="1:24" ht="75" x14ac:dyDescent="0.25">
      <c r="A443" t="s">
        <v>24</v>
      </c>
      <c r="B443" s="24" t="s">
        <v>1367</v>
      </c>
      <c r="C443" t="s">
        <v>2306</v>
      </c>
      <c r="D443" t="s">
        <v>35</v>
      </c>
      <c r="E443" t="s">
        <v>26</v>
      </c>
      <c r="F443" t="s">
        <v>28</v>
      </c>
      <c r="G443" t="s">
        <v>1301</v>
      </c>
      <c r="H443" t="s">
        <v>26</v>
      </c>
      <c r="I443" s="3">
        <v>45946</v>
      </c>
      <c r="J443" s="25">
        <v>2025</v>
      </c>
      <c r="K443" s="25"/>
      <c r="L443" s="16" t="s">
        <v>2307</v>
      </c>
      <c r="M443" s="16" t="s">
        <v>2308</v>
      </c>
      <c r="N443" s="27" t="s">
        <v>2309</v>
      </c>
      <c r="O443" s="2"/>
      <c r="V443" t="e">
        <f t="shared" si="15"/>
        <v>#VALUE!</v>
      </c>
    </row>
    <row r="444" spans="1:24" x14ac:dyDescent="0.25">
      <c r="A444" t="s">
        <v>24</v>
      </c>
      <c r="B444" s="17" t="s">
        <v>1007</v>
      </c>
      <c r="C444" s="17" t="s">
        <v>2310</v>
      </c>
      <c r="D444" s="17" t="s">
        <v>107</v>
      </c>
      <c r="E444" s="17" t="s">
        <v>26</v>
      </c>
      <c r="F444" s="17" t="s">
        <v>28</v>
      </c>
      <c r="G444" s="17" t="s">
        <v>1009</v>
      </c>
      <c r="H444" s="17" t="s">
        <v>280</v>
      </c>
      <c r="I444" s="18" t="s">
        <v>36</v>
      </c>
      <c r="J444" s="18" t="str">
        <f>RIGHT(I444,4)</f>
        <v>2019</v>
      </c>
      <c r="K444" s="18" t="s">
        <v>1009</v>
      </c>
      <c r="L444" s="18" t="s">
        <v>37</v>
      </c>
      <c r="M444" s="18" t="s">
        <v>37</v>
      </c>
      <c r="N444" s="18"/>
      <c r="O444" s="19" t="s">
        <v>2311</v>
      </c>
      <c r="P444" s="17" t="s">
        <v>2312</v>
      </c>
      <c r="Q444" s="17" t="s">
        <v>1013</v>
      </c>
      <c r="R444" s="17" t="s">
        <v>1014</v>
      </c>
      <c r="S444" s="17" t="s">
        <v>2313</v>
      </c>
      <c r="T444" s="17" t="s">
        <v>43</v>
      </c>
      <c r="U444" s="17">
        <v>84536</v>
      </c>
      <c r="V444" s="17" t="str">
        <f t="shared" si="15"/>
        <v>09/26/2019</v>
      </c>
      <c r="W444" s="17" t="s">
        <v>44</v>
      </c>
      <c r="X444" s="17"/>
    </row>
    <row r="445" spans="1:24" x14ac:dyDescent="0.25">
      <c r="A445" t="s">
        <v>24</v>
      </c>
      <c r="B445" s="17" t="s">
        <v>1007</v>
      </c>
      <c r="C445" s="17" t="s">
        <v>2314</v>
      </c>
      <c r="D445" s="17" t="s">
        <v>107</v>
      </c>
      <c r="E445" s="17" t="s">
        <v>26</v>
      </c>
      <c r="F445" s="17" t="s">
        <v>28</v>
      </c>
      <c r="G445" s="17" t="s">
        <v>1009</v>
      </c>
      <c r="H445" s="17" t="s">
        <v>280</v>
      </c>
      <c r="I445" s="18" t="s">
        <v>1222</v>
      </c>
      <c r="J445" s="18" t="str">
        <f>RIGHT(I445,4)</f>
        <v>2019</v>
      </c>
      <c r="K445" s="18" t="s">
        <v>1009</v>
      </c>
      <c r="L445" s="18" t="s">
        <v>37</v>
      </c>
      <c r="M445" s="18" t="s">
        <v>37</v>
      </c>
      <c r="N445" s="18"/>
      <c r="O445" s="19" t="s">
        <v>2315</v>
      </c>
      <c r="P445" s="17" t="s">
        <v>2316</v>
      </c>
      <c r="Q445" s="17" t="s">
        <v>1013</v>
      </c>
      <c r="R445" s="17" t="s">
        <v>1014</v>
      </c>
      <c r="S445" s="17" t="s">
        <v>2317</v>
      </c>
      <c r="T445" s="17" t="s">
        <v>43</v>
      </c>
      <c r="U445" s="17">
        <v>84599</v>
      </c>
      <c r="V445" s="17" t="str">
        <f t="shared" si="15"/>
        <v>11/04/2019</v>
      </c>
      <c r="W445" s="17" t="s">
        <v>44</v>
      </c>
      <c r="X445" s="17"/>
    </row>
    <row r="446" spans="1:24" x14ac:dyDescent="0.25">
      <c r="B446" t="s">
        <v>2318</v>
      </c>
      <c r="C446" t="s">
        <v>2319</v>
      </c>
      <c r="D446" t="s">
        <v>35</v>
      </c>
      <c r="E446" t="s">
        <v>28</v>
      </c>
      <c r="F446" t="s">
        <v>28</v>
      </c>
      <c r="G446" t="s">
        <v>1301</v>
      </c>
      <c r="H446" s="3" t="s">
        <v>26</v>
      </c>
      <c r="I446" s="3" t="s">
        <v>2320</v>
      </c>
      <c r="J446" s="3" t="str">
        <f>RIGHT(I446,4)</f>
        <v>2022</v>
      </c>
      <c r="K446" s="3"/>
      <c r="L446" s="3" t="s">
        <v>37</v>
      </c>
      <c r="M446" s="3" t="s">
        <v>2321</v>
      </c>
      <c r="N446" s="2"/>
      <c r="O446" t="s">
        <v>2322</v>
      </c>
      <c r="P446" t="s">
        <v>2323</v>
      </c>
      <c r="Q446" t="s">
        <v>2324</v>
      </c>
      <c r="R446" t="s">
        <v>2325</v>
      </c>
      <c r="S446" t="s">
        <v>2326</v>
      </c>
      <c r="T446" t="s">
        <v>43</v>
      </c>
      <c r="U446">
        <v>122340</v>
      </c>
      <c r="V446" t="str">
        <f t="shared" si="15"/>
        <v>03/02/2022</v>
      </c>
      <c r="W446" t="s">
        <v>44</v>
      </c>
    </row>
    <row r="447" spans="1:24" x14ac:dyDescent="0.25">
      <c r="B447" t="s">
        <v>365</v>
      </c>
      <c r="C447" t="s">
        <v>2327</v>
      </c>
      <c r="D447" t="s">
        <v>107</v>
      </c>
      <c r="E447" t="s">
        <v>26</v>
      </c>
      <c r="F447" t="s">
        <v>28</v>
      </c>
      <c r="I447" s="3"/>
      <c r="J447" s="25" t="str">
        <f>RIGHT(I447,4)</f>
        <v/>
      </c>
      <c r="K447" s="12" t="s">
        <v>417</v>
      </c>
      <c r="L447" s="15" t="s">
        <v>2328</v>
      </c>
      <c r="M447" s="15" t="s">
        <v>2329</v>
      </c>
      <c r="N447" s="3" t="s">
        <v>411</v>
      </c>
      <c r="O447" s="2"/>
      <c r="V447" t="e">
        <f t="shared" si="15"/>
        <v>#VALUE!</v>
      </c>
    </row>
  </sheetData>
  <dataValidations count="5">
    <dataValidation allowBlank="1" showInputMessage="1" showErrorMessage="1" sqref="H1 H446:H1048576" xr:uid="{959C0403-6D09-40E6-B3C6-AC9E764C08B0}"/>
    <dataValidation type="list" allowBlank="1" showInputMessage="1" showErrorMessage="1" sqref="F232:F1048576 E231:F231 E232:E445 F1:F230 E2:E230" xr:uid="{0262BF36-F94C-4D31-BFE5-F0B36F9B519B}">
      <formula1>"Yes,No"</formula1>
    </dataValidation>
    <dataValidation type="list" allowBlank="1" showInputMessage="1" showErrorMessage="1" sqref="D173:D180 D121:D130 D436:D445 D182:D233 D254:D257 D259:D269 D271:D290 D235:D252 D412:D434 D366:D410 D363:D364 D295 D132:D134 D306:D361 D447 D2:D119" xr:uid="{74FD6A7F-BFDC-4570-888E-F4435B30F5FA}">
      <formula1>"TFVC,Git"</formula1>
    </dataValidation>
    <dataValidation type="list" allowBlank="1" showInputMessage="1" showErrorMessage="1" sqref="H2:H445" xr:uid="{31DA86EF-59F6-4A75-8A06-4A74659D8B93}">
      <formula1>"Yes,No,Pending"</formula1>
    </dataValidation>
    <dataValidation type="list" allowBlank="1" showInputMessage="1" showErrorMessage="1" sqref="G2:G1048576" xr:uid="{DA1A7FFF-C77F-4BC5-8EDF-A9CDDE58CE53}">
      <formula1>"MDR,CBI,Lummus,NA"</formula1>
    </dataValidation>
  </dataValidations>
  <hyperlinks>
    <hyperlink ref="Q195" r:id="rId1" xr:uid="{CE70EB38-9924-434C-9CA3-2ED06853F0F3}"/>
    <hyperlink ref="P195" r:id="rId2" xr:uid="{6D15B5E4-E9D3-41AD-ACB6-02F4C0C8C3CD}"/>
    <hyperlink ref="M197" r:id="rId3" xr:uid="{B2060A73-5501-4AA7-ADD6-C35244A420AC}"/>
    <hyperlink ref="M210" r:id="rId4" xr:uid="{F61640C3-4AF3-493F-9D09-7C9C3143EB24}"/>
    <hyperlink ref="M216" r:id="rId5" xr:uid="{44A9096D-3F87-446E-83BB-0F75EAC67BD8}"/>
    <hyperlink ref="M220" r:id="rId6" xr:uid="{8CD26BD9-D5EE-4929-8D43-6D7D77411AC4}"/>
    <hyperlink ref="M108" r:id="rId7" xr:uid="{6D8A2C25-1DAF-43D0-A256-04E316718587}"/>
    <hyperlink ref="M110" r:id="rId8" xr:uid="{CE058C63-D301-49E7-899A-A0EC9C5D791A}"/>
    <hyperlink ref="M111" r:id="rId9" xr:uid="{307192BA-C8DC-4508-B4AF-578683C69E3A}"/>
    <hyperlink ref="M113" r:id="rId10" xr:uid="{4473F7F0-F136-421D-8520-C567854D6CEA}"/>
    <hyperlink ref="M114" r:id="rId11" xr:uid="{97C74B73-BC85-4F17-B965-31000D226B73}"/>
    <hyperlink ref="M117" r:id="rId12" xr:uid="{7640840F-2CA7-456A-A4AD-2DCE5040B6CA}"/>
    <hyperlink ref="M118" r:id="rId13" xr:uid="{F2B62AF7-3E05-4A18-BB67-9E0502345BDC}"/>
    <hyperlink ref="M120" r:id="rId14" xr:uid="{4F480BE0-BBD8-4BEC-BD9D-270E626BB3E9}"/>
    <hyperlink ref="M121" r:id="rId15" xr:uid="{7C723FF3-2BA0-48B7-B1F8-42A0EEC52A40}"/>
    <hyperlink ref="M122" r:id="rId16" xr:uid="{A16F8F4C-02BA-4C65-AB82-F13881A5B125}"/>
    <hyperlink ref="M123" r:id="rId17" xr:uid="{8AC77503-E37F-4382-A740-98BAB8872FE9}"/>
    <hyperlink ref="M124" r:id="rId18" xr:uid="{CA8EDDE5-54CC-453C-82FD-709994F8D261}"/>
    <hyperlink ref="M125" r:id="rId19" xr:uid="{36840FBE-A888-4D16-A978-E742E56F5265}"/>
    <hyperlink ref="M126" r:id="rId20" xr:uid="{0BD763FF-7AA5-4225-A120-06ED6779F3D7}"/>
    <hyperlink ref="M44" r:id="rId21" xr:uid="{1974A0EA-D42D-453B-B17E-4058AC78E28F}"/>
    <hyperlink ref="M41" r:id="rId22" xr:uid="{C2BB0CAB-30F2-4E87-BF8B-D3924665E558}"/>
    <hyperlink ref="M149" r:id="rId23" xr:uid="{ECE53A07-6ED8-483D-87E6-2A939A9D9BE5}"/>
    <hyperlink ref="M151" r:id="rId24" xr:uid="{E871913E-03D4-4453-904C-63905071A45F}"/>
    <hyperlink ref="M189" r:id="rId25" xr:uid="{4EFEB2A4-95C9-431D-A79B-70CAB8129471}"/>
    <hyperlink ref="M150" r:id="rId26" xr:uid="{A3AB1550-25F4-4CE2-87BA-AFCC597B2F50}"/>
    <hyperlink ref="M152" r:id="rId27" xr:uid="{0EA9B951-ECF6-480A-A2E0-C28211AAB704}"/>
    <hyperlink ref="M190" r:id="rId28" xr:uid="{A783049D-6C3B-4835-8611-03574EEA802F}"/>
    <hyperlink ref="M164" r:id="rId29" xr:uid="{45E4306F-88CA-49A4-845B-435AD93E0177}"/>
    <hyperlink ref="M165" r:id="rId30" xr:uid="{D6E695A2-D868-4F83-B2AA-B81307C09C91}"/>
    <hyperlink ref="M166" r:id="rId31" xr:uid="{A15A9D41-5D19-4237-AB16-BFA209839A91}"/>
    <hyperlink ref="M148" r:id="rId32" xr:uid="{392B0E5D-89D9-4DB2-90A9-DB5B962E08D2}"/>
    <hyperlink ref="M154" r:id="rId33" xr:uid="{AA48658B-1287-4D5A-A8CC-C0B9FD0C6B9F}"/>
    <hyperlink ref="M191" r:id="rId34" xr:uid="{8D44FB82-74E3-4E8D-A94E-E77EACF1A3FF}"/>
    <hyperlink ref="M282" r:id="rId35" xr:uid="{B1B9B8E5-C6C1-432D-B3DE-B875A2726D82}"/>
    <hyperlink ref="M362" r:id="rId36" xr:uid="{6E684B7F-D66E-4D6F-ACEE-C451BE85105B}"/>
    <hyperlink ref="M364" r:id="rId37" xr:uid="{857D9DA9-E4FB-4B63-86A4-70C9344DD096}"/>
    <hyperlink ref="M366" r:id="rId38" xr:uid="{D4EA8488-9F60-4F16-80C2-C9FECD823C66}"/>
    <hyperlink ref="M368" r:id="rId39" xr:uid="{13C463D5-F601-434F-973A-658BBD87D730}"/>
    <hyperlink ref="M369" r:id="rId40" xr:uid="{C6F1C96E-60BC-40BD-A713-A0B7DD5742B9}"/>
    <hyperlink ref="M377" r:id="rId41" xr:uid="{46826828-4D34-43E2-BA49-2ED4C8DFAEBC}"/>
    <hyperlink ref="M378" r:id="rId42" xr:uid="{FC3EA84E-F73D-4EAF-B464-DD6A8FEDC124}"/>
    <hyperlink ref="M379" r:id="rId43" xr:uid="{89A3C48E-9689-45A8-A116-76174BC11D10}"/>
    <hyperlink ref="M380" r:id="rId44" xr:uid="{4FF18545-2612-4892-8F73-961087557643}"/>
    <hyperlink ref="M382" r:id="rId45" xr:uid="{9E723D91-B54A-4CB8-8DCB-DE0236F331B3}"/>
    <hyperlink ref="M383" r:id="rId46" xr:uid="{C6F8E7CE-B54A-4A74-B24F-6201A10B679F}"/>
    <hyperlink ref="M422" r:id="rId47" xr:uid="{64693827-7540-4CA5-A718-3D6D3C6EB5A0}"/>
    <hyperlink ref="M429" r:id="rId48" xr:uid="{530B5EF4-2E42-4A8B-8341-E82B75BCA441}"/>
    <hyperlink ref="M384" r:id="rId49" xr:uid="{DE35A23D-A223-4137-9766-B0D152707E3B}"/>
    <hyperlink ref="M388" r:id="rId50" xr:uid="{64D256AB-6A0F-4341-B96E-CE555FB70804}"/>
    <hyperlink ref="M393" r:id="rId51" xr:uid="{068A3C28-F33C-40E5-85A0-44E93E3F93FD}"/>
    <hyperlink ref="M394" r:id="rId52" xr:uid="{5B352F62-ADF0-4F19-B148-F8004CC213D5}"/>
    <hyperlink ref="M409" r:id="rId53" xr:uid="{28F15DDE-683F-4339-A95F-D50085B66A58}"/>
    <hyperlink ref="M401" r:id="rId54" xr:uid="{87F93DA7-DD74-491A-B216-926C6385D13F}"/>
    <hyperlink ref="M396" r:id="rId55" xr:uid="{5CAED0AA-8BB8-4902-B115-01EF66AE55F2}"/>
    <hyperlink ref="M405" r:id="rId56" xr:uid="{83EB3EAD-5E88-4F1F-99B8-A2DEDC590AEF}"/>
    <hyperlink ref="M407" r:id="rId57" xr:uid="{D031822B-0FFA-4D19-9BCE-51F702E78D13}"/>
    <hyperlink ref="M411" r:id="rId58" xr:uid="{7C527AED-D49F-49BB-BF54-9CB2C0DA89A6}"/>
    <hyperlink ref="M413" r:id="rId59" xr:uid="{C635DF15-806F-4B9D-B8F3-56ECCC7C17DC}"/>
    <hyperlink ref="M415" r:id="rId60" xr:uid="{10B7BA90-B923-437C-9CBF-79B4C299DC65}"/>
    <hyperlink ref="M418" r:id="rId61" xr:uid="{6D6C163B-80CE-47BC-A1E4-29825E41E9FD}"/>
    <hyperlink ref="M420" r:id="rId62" xr:uid="{46930838-9520-486F-96B2-F0A82863B079}"/>
    <hyperlink ref="M8" r:id="rId63" xr:uid="{C63B5C36-B21A-412F-8342-F9974867267F}"/>
    <hyperlink ref="M10" r:id="rId64" xr:uid="{94019587-0227-4A4C-8302-93B6B53D9670}"/>
    <hyperlink ref="M17" r:id="rId65" xr:uid="{0EB84908-A6A1-4774-9B4D-B8861CAB8CB0}"/>
    <hyperlink ref="M21" r:id="rId66" xr:uid="{C4A05280-D9E1-4AF1-AE8D-B9A37EE24453}"/>
    <hyperlink ref="M23" r:id="rId67" xr:uid="{DEEDF753-6CDA-4D8C-907B-12BB6BF5639C}"/>
    <hyperlink ref="M24" r:id="rId68" xr:uid="{CA205195-F1B1-4A4F-89D5-A932D68F4D21}"/>
    <hyperlink ref="M25" r:id="rId69" xr:uid="{C25F0E5E-F15E-48FE-AC8F-18BF2250763D}"/>
    <hyperlink ref="M27" r:id="rId70" xr:uid="{939DACF0-7A02-436C-916E-10BBF4F771A6}"/>
    <hyperlink ref="M28" r:id="rId71" xr:uid="{782F1C60-B60B-4671-AEA3-13FCCF96BF5F}"/>
    <hyperlink ref="M47" r:id="rId72" xr:uid="{9A49081F-DA10-4E03-A809-C370594593C6}"/>
    <hyperlink ref="M46" r:id="rId73" xr:uid="{A6E9A187-82A5-4B7F-B8EE-C47F7BE73397}"/>
    <hyperlink ref="M49" r:id="rId74" xr:uid="{BE5C62BA-642F-4D7B-8E99-42F7E99CA41F}"/>
    <hyperlink ref="M31" r:id="rId75" xr:uid="{592C9DE8-308F-4DC6-BE3E-59445135F270}"/>
    <hyperlink ref="M32" r:id="rId76" xr:uid="{D6BEBF41-37DF-4865-BD28-B73DCA6BBBD4}"/>
    <hyperlink ref="M33" r:id="rId77" xr:uid="{07107D90-0C89-4E25-B01D-3FBDFC0B2F73}"/>
    <hyperlink ref="M34" r:id="rId78" xr:uid="{45B58FF7-10A0-42B6-9B63-332F82EAEC63}"/>
    <hyperlink ref="M35" r:id="rId79" xr:uid="{2775E310-7270-4BBD-91F4-EC97E921FB6C}"/>
    <hyperlink ref="M127" r:id="rId80" xr:uid="{1547A60E-5F7E-49E8-AAD7-9FAFA42BB2A6}"/>
    <hyperlink ref="M130" r:id="rId81" xr:uid="{7280A0C0-0AD0-4ED9-BAA0-B51E5474BD2C}"/>
    <hyperlink ref="M131" r:id="rId82" xr:uid="{3EF2392A-7133-4E25-8325-6754EB1668E8}"/>
    <hyperlink ref="M132" r:id="rId83" xr:uid="{5B443019-99DC-4A87-8915-ED2708560651}"/>
    <hyperlink ref="M430" r:id="rId84" xr:uid="{8283073E-A75B-48ED-8323-A8F1F4D58C4F}"/>
    <hyperlink ref="M280" r:id="rId85" xr:uid="{6A1CDEC6-AE8E-4846-AEC1-417409F921EA}"/>
    <hyperlink ref="M436" r:id="rId86" xr:uid="{38CD2890-D73F-4231-8B93-F25395878B3D}"/>
    <hyperlink ref="M439" r:id="rId87" xr:uid="{15E1FA84-BA37-46DB-BFAB-A2B660C54D08}"/>
    <hyperlink ref="M440" r:id="rId88" xr:uid="{C2E23ABD-7720-4B4A-9E22-FAF2FFDD30AE}"/>
    <hyperlink ref="M279" r:id="rId89" xr:uid="{CA8B9744-426F-4B44-A622-9C6531B7842D}"/>
    <hyperlink ref="M441" r:id="rId90" xr:uid="{547162EA-80EE-4E1A-A495-1021E0B46B18}"/>
    <hyperlink ref="M240" r:id="rId91" xr:uid="{D2BA3717-5D86-401C-A2C0-AAE2DFD2EE36}"/>
    <hyperlink ref="M271" r:id="rId92" xr:uid="{5FAB261C-D86D-4027-B09D-848CCE5404E0}"/>
    <hyperlink ref="M221" r:id="rId93" xr:uid="{4B3A709B-887B-4EA8-B02F-287CDD94A897}"/>
    <hyperlink ref="M192" r:id="rId94" xr:uid="{A6A640D6-8A3B-4510-98BF-85D7FBA3D275}"/>
    <hyperlink ref="M222" r:id="rId95" xr:uid="{1C224C06-3328-4C61-B19F-489C89DBEEE5}"/>
    <hyperlink ref="M224" r:id="rId96" xr:uid="{F779C2B5-E569-4006-A6A8-B9612933FF6F}"/>
    <hyperlink ref="M226" r:id="rId97" xr:uid="{965FF92B-EAC6-4094-A974-7ABFE62E65AD}"/>
    <hyperlink ref="M238" r:id="rId98" xr:uid="{C95AD641-11A1-4FAD-9EF6-9AAE9C17C458}"/>
    <hyperlink ref="M68" r:id="rId99" xr:uid="{2DB0AAF6-4CDC-48DD-9B7A-0135E2E14CF6}"/>
    <hyperlink ref="M67" r:id="rId100" xr:uid="{B4D382DA-3668-4C8B-95D4-5AB8A56BD75B}"/>
    <hyperlink ref="M69" r:id="rId101" xr:uid="{38E2B191-8FF4-4421-8D03-31DE9830E0A6}"/>
    <hyperlink ref="M70" r:id="rId102" xr:uid="{D5A0C704-2774-4E92-822E-D31B45A437D5}"/>
    <hyperlink ref="M71" r:id="rId103" xr:uid="{34C5739C-436C-45D5-BE36-11618DD70717}"/>
    <hyperlink ref="M64" r:id="rId104" xr:uid="{8DF588CE-9A7F-4F7C-83DC-05FED01D983E}"/>
    <hyperlink ref="M65" r:id="rId105" xr:uid="{43861D9E-B795-4294-959C-0EED2F6B6EFF}"/>
    <hyperlink ref="M66" r:id="rId106" xr:uid="{C0E532DC-815A-459A-A241-AF3C22503AF5}"/>
    <hyperlink ref="M105" r:id="rId107" xr:uid="{869F0635-EC27-4ECC-BCB9-3FD584FE7D23}"/>
    <hyperlink ref="M97" r:id="rId108" xr:uid="{A488F36E-E969-4B54-97A5-FE0B5A70FF87}"/>
    <hyperlink ref="M106" r:id="rId109" display="kranade@mcdermott.com; Deepak.Dange@mcdermott.com; hgaba@mcdermott.com; Pankaj.Jadhav2@mcdermott.com; jsangram@mcdermott.com; Mansi.Kulkarni@mcdermott.com; Yogesh.Lipane@mcdermott.com; HMajmudar@mcdermott.com; smaske@mcdermott.com; kranade@mcdermott.com; sranganathan@mcdermott.com; Rohit.Soni@mcdermott.com; Sachin.Todkar@mcdermott.com; wKprasad@mcdermott.com" xr:uid="{3705EBD5-15A1-4D5C-A3E3-6F151E9D63FF}"/>
    <hyperlink ref="M107" r:id="rId110" display="kranade@mcdermott.com; ; hgaba@mcdermott.com; Pankaj.Jadhav2@mcdermott.com; jsangram@mcdermott.com; Mansi.Kulkarni@mcdermott.com; Yogesh.Lipane@mcdermott.com; HMajmudar@mcdermott.com; smaske@mcdermott.com; kranade@mcdermott.com; sranganathan@mcdermott.com; Rohit.Soni@mcdermott.com; Sachin.Todkar@mcdermott.com; wKprasad@mcdermott.com" xr:uid="{A3FD14C2-AFE6-423C-85C1-6AFFCB191488}"/>
    <hyperlink ref="M83" r:id="rId111" xr:uid="{EA7AFA5F-8237-4DA1-A94B-4740BA3217C0}"/>
    <hyperlink ref="M84" r:id="rId112" xr:uid="{7AF24231-CCE0-44E6-9B3B-EA03A5A81CEE}"/>
    <hyperlink ref="M85" r:id="rId113" display="kranade@mcdermott.com; Suraj.Jagtap@mcdermott.com; Vishal.Kudale@mcdermott.com; Pankaj.Jadhav2@mcdermott.com; HMajmudar@mcdermott.com; smaske@mcdermott.com; Rohit.Soni@mcdermott.com; Pratik.Sawant@mcdermott.com; Rathi.T@mcdermott.com; wKprasad@mcdermott.com" xr:uid="{2968774B-9832-44F0-AC82-5BA830151889}"/>
    <hyperlink ref="M86" r:id="rId114" display="kranade@mcdermott.com Rohit.Soni@mcdermott.com" xr:uid="{6EC82D80-68C3-475F-BCDC-8CCB327DFF9F}"/>
    <hyperlink ref="M87" r:id="rId115" xr:uid="{72A828C1-8005-45F6-959E-AACA2DF52A10}"/>
    <hyperlink ref="M88" r:id="rId116" display="kranade@mcdermott.com Pankaj.Jadhav2@mcdermott.com; Suraj.Jagtap@mcdermott.com; Vishal.Kudale@mcdermott.com; Yogesh.Lipane@mcdermott.com; HMajmudar@mcdermott.com;smaske@mcdermott.com; Pratik.Sawant@mcdermott.com; Manohar.Vare@mcdermott.com; wKprasad@mcdermott.com" xr:uid="{8DA51229-C142-403E-8CD1-26483F9B438E}"/>
    <hyperlink ref="M89" r:id="rId117" xr:uid="{04AB08F6-9F25-40AE-9959-C639461A80B7}"/>
    <hyperlink ref="M90" r:id="rId118" xr:uid="{C85EE8DA-6EBA-4C4D-9AAF-D70032CAE211}"/>
    <hyperlink ref="M91" r:id="rId119" xr:uid="{789DE8EB-4A01-4062-9D22-72AB4B170923}"/>
    <hyperlink ref="M92" r:id="rId120" xr:uid="{2FEAF7EB-1C9D-47D2-89E0-F7A026BD9CC6}"/>
    <hyperlink ref="M93" r:id="rId121" xr:uid="{88EA61E5-3C15-440A-9C8A-34BBCA96BE45}"/>
    <hyperlink ref="M94" r:id="rId122" xr:uid="{9D2A3207-8AD0-4F80-9E4A-B1B7C9C3C2FF}"/>
    <hyperlink ref="M103" r:id="rId123" xr:uid="{58111738-F5C0-468F-82A9-EA59D29AB02A}"/>
    <hyperlink ref="M104" r:id="rId124" xr:uid="{C423C906-1C97-4B05-BAC9-4B094A5EF822}"/>
    <hyperlink ref="M78" r:id="rId125" xr:uid="{E02B7FAE-F0DE-4D58-AFF6-FB6B226093EE}"/>
    <hyperlink ref="L443" r:id="rId126" display="mailto:Rakesh.Dhummi@mcdermott.com" xr:uid="{18D358C6-7389-4F4B-BE0B-FBAF7A4F19C4}"/>
    <hyperlink ref="M443" r:id="rId127" display="mailto:Carson.Daspit@cbi.com" xr:uid="{93A5C649-F889-40BE-96B1-BB77CA68AFFF}"/>
    <hyperlink ref="L8" r:id="rId128" xr:uid="{6D899143-B12F-4156-A188-DD0A73B658F1}"/>
    <hyperlink ref="L21" r:id="rId129" xr:uid="{6465F9CD-4EBD-493F-BF1E-697F9733AC3B}"/>
    <hyperlink ref="L23" r:id="rId130" xr:uid="{4CFE1C86-6FBE-4FED-B1D8-1A5D35D66B37}"/>
    <hyperlink ref="L27" r:id="rId131" xr:uid="{DCFD0FE2-4F9E-447F-944E-F07388F30258}"/>
    <hyperlink ref="L28" r:id="rId132" xr:uid="{AD78043E-FFA1-4108-A0A2-6A671670BA33}"/>
    <hyperlink ref="L31" r:id="rId133" xr:uid="{40787F84-3C71-4F16-B985-E259CEB0F5E9}"/>
    <hyperlink ref="L32" r:id="rId134" xr:uid="{A1A94526-0B73-4B52-BB8D-A28723688ABC}"/>
    <hyperlink ref="L33" r:id="rId135" xr:uid="{2CA2E05E-6620-48D4-996A-598B761A19A9}"/>
    <hyperlink ref="L34" r:id="rId136" xr:uid="{F5FF5260-5DB7-407B-BC5F-E6AF5FA3BDC4}"/>
    <hyperlink ref="L35" r:id="rId137" xr:uid="{1B2C6A42-B7C2-4D10-98D2-974BE0A950EF}"/>
    <hyperlink ref="L41" r:id="rId138" xr:uid="{4193F646-255D-4983-BF6C-C8E80392CFE0}"/>
    <hyperlink ref="L64" r:id="rId139" xr:uid="{B57FB9EB-5792-4ADA-8531-B444C7420CE8}"/>
    <hyperlink ref="L65" r:id="rId140" xr:uid="{3966DA0A-076B-4179-A6EC-55AC8E7CE3D0}"/>
    <hyperlink ref="L66" r:id="rId141" xr:uid="{F6C8E85C-0D0E-4C84-A89B-636B407C64C5}"/>
    <hyperlink ref="L70" r:id="rId142" xr:uid="{313CCDE1-F0E3-4CF5-8612-8517DFDC200E}"/>
    <hyperlink ref="M81" r:id="rId143" xr:uid="{EE4FE73A-E325-4EF3-84CE-626AC6A4E77F}"/>
    <hyperlink ref="L79" r:id="rId144" xr:uid="{B7AC554E-F3C7-4BC9-92CC-B0AD0C34F12B}"/>
    <hyperlink ref="L80" r:id="rId145" xr:uid="{7230B05A-0C9C-4226-9178-06BF734A8235}"/>
    <hyperlink ref="L78" r:id="rId146" xr:uid="{230533B6-A51B-4FEE-9D47-14C3C154753E}"/>
    <hyperlink ref="L81" r:id="rId147" xr:uid="{C8B04504-ED16-4A25-BC74-BDF00BBFA24A}"/>
    <hyperlink ref="L82" r:id="rId148" xr:uid="{926512EC-D424-49B4-9EEB-AA16D82DB345}"/>
    <hyperlink ref="L83" r:id="rId149" xr:uid="{6CC974BE-9961-49B7-9F3A-75973DD4CC0A}"/>
    <hyperlink ref="L85" r:id="rId150" xr:uid="{057AC35B-16B4-4AF6-8240-43CBB29E10AE}"/>
    <hyperlink ref="L87" r:id="rId151" xr:uid="{2C271822-7AA4-491D-BE8F-D79AA6C90494}"/>
    <hyperlink ref="L91" r:id="rId152" xr:uid="{C3A10B02-DA0B-4725-B05E-204C2D47660E}"/>
    <hyperlink ref="L95" r:id="rId153" xr:uid="{E89A0722-83AB-47B5-9A85-FC2649C99615}"/>
    <hyperlink ref="M101" r:id="rId154" xr:uid="{F22058D8-0888-468B-811D-5774C8C68FB3}"/>
    <hyperlink ref="L97" r:id="rId155" xr:uid="{740D5570-717E-45A7-88D4-769F050BBD11}"/>
    <hyperlink ref="L99" r:id="rId156" xr:uid="{1DE58E18-C4C4-4B76-AAD0-AD32FDC990B6}"/>
    <hyperlink ref="L102" r:id="rId157" xr:uid="{B486B43A-D15A-4112-92DA-1206BF142AEB}"/>
    <hyperlink ref="L103" r:id="rId158" xr:uid="{04F88414-D0DD-4FD0-B060-EF841F6C75EF}"/>
    <hyperlink ref="L104" r:id="rId159" xr:uid="{F2570D7D-A919-493C-880B-9AE5BBDC8300}"/>
    <hyperlink ref="L106" r:id="rId160" xr:uid="{72873D46-FB11-4D60-963B-088830FC3935}"/>
    <hyperlink ref="L127" r:id="rId161" xr:uid="{6BA2BFBD-0D31-48D6-B670-EF9C10BDD393}"/>
    <hyperlink ref="L149" r:id="rId162" display="VMishra@mcdermott.com " xr:uid="{13F7D4E9-6207-4C66-8C6F-B9C68B403EBF}"/>
    <hyperlink ref="L146" r:id="rId163" xr:uid="{152776BA-EC24-42E7-A67C-4F5C145B3E64}"/>
    <hyperlink ref="L151" r:id="rId164" xr:uid="{7DF4D0B2-7639-4F68-BD75-29DA98A0A533}"/>
    <hyperlink ref="L154" r:id="rId165" xr:uid="{5E83D4AA-E1C3-4983-94E4-63DD49EB4025}"/>
    <hyperlink ref="L195" r:id="rId166" xr:uid="{42867FB8-3672-45E8-9C5D-069DFF6B3851}"/>
    <hyperlink ref="L222" r:id="rId167" xr:uid="{563D0221-0D34-4CEC-9A3A-5B277CAA4BA6}"/>
    <hyperlink ref="L197" r:id="rId168" xr:uid="{4D468693-38A5-40CA-ACF9-A8B6B7B3AB50}"/>
    <hyperlink ref="L210" r:id="rId169" xr:uid="{CE203C67-A221-41A5-9599-BFBBDBA1D622}"/>
    <hyperlink ref="L216" r:id="rId170" xr:uid="{9C593B66-278E-44A4-83D3-B3007E30674C}"/>
    <hyperlink ref="L220" r:id="rId171" xr:uid="{C3A7A4DB-5F2D-4F56-9ECA-00EAA47A887F}"/>
    <hyperlink ref="L221" r:id="rId172" xr:uid="{79BB7C0D-40D2-4C37-A940-A7A4E477D1C1}"/>
    <hyperlink ref="L240" r:id="rId173" xr:uid="{86D3A07F-E04D-4588-B4FF-88D74A92BD59}"/>
    <hyperlink ref="L393" r:id="rId174" xr:uid="{88AB9D65-E9A9-47DD-AD33-3A4548038A43}"/>
    <hyperlink ref="L401" r:id="rId175" xr:uid="{AC4DDD4F-C0EA-4D69-8247-E6B470FDC692}"/>
    <hyperlink ref="L407" r:id="rId176" xr:uid="{689144EA-9505-4FDB-B7A8-0D4E407E9BB1}"/>
    <hyperlink ref="L430" r:id="rId177" xr:uid="{025A8475-BA6F-4623-A437-7ECB62BB8656}"/>
    <hyperlink ref="M239" r:id="rId178" display="Atul.Singhai@mcdermott.com; x.mike.koshel@mcdermott.com; VMishra@mcdermott.com; VSlavov@mcdermott.com; CToet@mcdermott.com; Jeremy.Wier@mcdermott.com" xr:uid="{FB9F95C9-E408-4464-9B20-D850D87E48D4}"/>
    <hyperlink ref="L239" r:id="rId179" display="Atul.Singhai@mcdermott.com; x.mike.koshel@mcdermott.com; VMishra@mcdermott.com; VSlavov@mcdermott.com; CToet@mcdermott.com; Jeremy.Wier@mcdermott.com" xr:uid="{2C93EEDA-990F-4A2E-A3BB-D12068953B22}"/>
    <hyperlink ref="L143" r:id="rId180" xr:uid="{A0FF2F5E-51FA-44C8-9A07-1CF0D8847DC1}"/>
    <hyperlink ref="M447" r:id="rId181" xr:uid="{64FC5D75-235F-4E12-BC1B-182D0990F1BA}"/>
    <hyperlink ref="L447" r:id="rId182" xr:uid="{D22CAB57-BE00-44F6-AB6D-D338840BD7AB}"/>
    <hyperlink ref="L6" r:id="rId183" xr:uid="{403D3336-C4FC-47FB-9E0D-F9B22E2AE1E1}"/>
    <hyperlink ref="L9" r:id="rId184" xr:uid="{1C4EC65B-1807-4B54-A022-6AC42EC84BF5}"/>
    <hyperlink ref="L18" r:id="rId185" xr:uid="{AB16B9AF-A3B1-4657-AD3E-0A0C0DDB3ED8}"/>
  </hyperlinks>
  <pageMargins left="0.7" right="0.7" top="0.75" bottom="0.75" header="0.3" footer="0.3"/>
  <tableParts count="1">
    <tablePart r:id="rId18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CD8D-B539-44FE-A9E2-47D3BF232498}">
  <dimension ref="A1:X448"/>
  <sheetViews>
    <sheetView tabSelected="1" topLeftCell="B285" workbookViewId="0">
      <selection activeCell="F293" sqref="F293"/>
    </sheetView>
  </sheetViews>
  <sheetFormatPr defaultRowHeight="15" x14ac:dyDescent="0.25"/>
  <cols>
    <col min="1" max="1" width="35.42578125" hidden="1" customWidth="1"/>
    <col min="2" max="2" width="22.28515625" customWidth="1"/>
    <col min="3" max="3" width="26.85546875" customWidth="1"/>
    <col min="4" max="4" width="12.7109375" customWidth="1"/>
    <col min="5" max="5" width="9.140625" customWidth="1"/>
    <col min="6" max="6" width="8.140625" customWidth="1"/>
    <col min="7" max="7" width="12.7109375" hidden="1" customWidth="1"/>
    <col min="8" max="8" width="9" hidden="1" customWidth="1"/>
    <col min="9" max="9" width="15.5703125" hidden="1" customWidth="1"/>
    <col min="10" max="10" width="9" hidden="1" customWidth="1"/>
    <col min="11" max="11" width="30.85546875" customWidth="1"/>
    <col min="12" max="12" width="27.42578125" customWidth="1"/>
    <col min="13" max="13" width="113.42578125" customWidth="1"/>
    <col min="14" max="14" width="42.42578125" customWidth="1"/>
    <col min="15" max="15" width="26.140625" customWidth="1"/>
    <col min="16" max="16" width="49.140625" hidden="1" customWidth="1"/>
    <col min="17" max="17" width="37.85546875" hidden="1" customWidth="1"/>
    <col min="18" max="18" width="31" hidden="1" customWidth="1"/>
    <col min="19" max="19" width="53.140625" hidden="1" customWidth="1"/>
    <col min="20" max="20" width="12" hidden="1" customWidth="1"/>
    <col min="21" max="21" width="15.42578125" hidden="1" customWidth="1"/>
    <col min="22" max="22" width="18.7109375" bestFit="1" customWidth="1"/>
    <col min="23" max="23" width="15.7109375" customWidth="1"/>
    <col min="24" max="24" width="23.7109375" customWidth="1"/>
    <col min="25" max="25" width="22.140625" customWidth="1"/>
    <col min="26" max="26" width="16" bestFit="1" customWidth="1"/>
    <col min="27" max="27" width="38.140625" bestFit="1" customWidth="1"/>
    <col min="28" max="28" width="38.42578125" bestFit="1" customWidth="1"/>
    <col min="29" max="29" width="38.140625" bestFit="1" customWidth="1"/>
    <col min="30" max="30" width="15" bestFit="1" customWidth="1"/>
    <col min="31" max="31" width="81.140625" bestFit="1" customWidth="1"/>
    <col min="32" max="32" width="8.28515625" bestFit="1" customWidth="1"/>
    <col min="33" max="33" width="81.140625" bestFit="1" customWidth="1"/>
    <col min="34" max="34" width="11.28515625" bestFit="1" customWidth="1"/>
    <col min="35" max="35" width="10.5703125" bestFit="1" customWidth="1"/>
    <col min="36" max="36" width="11" bestFit="1" customWidth="1"/>
    <col min="37" max="37" width="17.5703125" bestFit="1" customWidth="1"/>
  </cols>
  <sheetData>
    <row r="1" spans="1:24" x14ac:dyDescent="0.25">
      <c r="A1" t="s">
        <v>0</v>
      </c>
      <c r="B1" t="s">
        <v>1</v>
      </c>
      <c r="C1" t="s">
        <v>2</v>
      </c>
      <c r="D1" t="s">
        <v>3</v>
      </c>
      <c r="E1" t="s">
        <v>4</v>
      </c>
      <c r="F1" t="s">
        <v>5</v>
      </c>
      <c r="G1" t="s">
        <v>6</v>
      </c>
      <c r="H1" t="s">
        <v>7</v>
      </c>
      <c r="I1" t="s">
        <v>8</v>
      </c>
      <c r="J1" t="s">
        <v>9</v>
      </c>
      <c r="K1" s="26" t="s">
        <v>10</v>
      </c>
      <c r="L1" t="s">
        <v>11</v>
      </c>
      <c r="M1" t="s">
        <v>12</v>
      </c>
      <c r="N1" t="s">
        <v>13</v>
      </c>
      <c r="O1" t="s">
        <v>14</v>
      </c>
      <c r="P1" t="s">
        <v>15</v>
      </c>
      <c r="Q1" t="s">
        <v>16</v>
      </c>
      <c r="R1" t="s">
        <v>17</v>
      </c>
      <c r="S1" t="s">
        <v>18</v>
      </c>
      <c r="T1" t="s">
        <v>19</v>
      </c>
      <c r="U1" t="s">
        <v>20</v>
      </c>
      <c r="V1" t="s">
        <v>21</v>
      </c>
      <c r="W1" t="s">
        <v>22</v>
      </c>
      <c r="X1" t="s">
        <v>23</v>
      </c>
    </row>
    <row r="2" spans="1:24" x14ac:dyDescent="0.25">
      <c r="A2" t="s">
        <v>24</v>
      </c>
      <c r="B2" s="6" t="s">
        <v>25</v>
      </c>
      <c r="E2" t="s">
        <v>26</v>
      </c>
      <c r="F2" t="s">
        <v>26</v>
      </c>
      <c r="G2" t="s">
        <v>27</v>
      </c>
      <c r="H2" t="s">
        <v>28</v>
      </c>
      <c r="I2" s="3" t="e">
        <v>#VALUE!</v>
      </c>
      <c r="J2" s="3" t="e">
        <f>RIGHT(I2,4)</f>
        <v>#VALUE!</v>
      </c>
      <c r="K2" s="3"/>
      <c r="L2" s="3"/>
      <c r="M2" s="3"/>
      <c r="N2" s="3"/>
      <c r="O2" s="2"/>
      <c r="Q2" t="s">
        <v>29</v>
      </c>
      <c r="R2" t="s">
        <v>30</v>
      </c>
      <c r="V2" t="e">
        <f t="shared" ref="V2:V3" si="0">TEXT(DATEVALUE(LEFT(O2,10)), "mm/dd/yyyy")</f>
        <v>#VALUE!</v>
      </c>
    </row>
    <row r="3" spans="1:24" x14ac:dyDescent="0.25">
      <c r="A3" t="s">
        <v>24</v>
      </c>
      <c r="B3" t="s">
        <v>31</v>
      </c>
      <c r="E3" t="s">
        <v>26</v>
      </c>
      <c r="F3" t="s">
        <v>26</v>
      </c>
      <c r="G3" t="s">
        <v>27</v>
      </c>
      <c r="H3" t="s">
        <v>28</v>
      </c>
      <c r="I3" s="3" t="e">
        <v>#VALUE!</v>
      </c>
      <c r="J3" s="3" t="e">
        <f t="shared" ref="J3" si="1">RIGHT(I3,4)</f>
        <v>#VALUE!</v>
      </c>
      <c r="K3" s="3"/>
      <c r="L3" s="3"/>
      <c r="M3" s="3"/>
      <c r="N3" s="3"/>
      <c r="O3" s="2"/>
      <c r="Q3" t="s">
        <v>32</v>
      </c>
      <c r="R3" t="s">
        <v>33</v>
      </c>
      <c r="V3" t="e">
        <f t="shared" si="0"/>
        <v>#VALUE!</v>
      </c>
    </row>
    <row r="4" spans="1:24" hidden="1" x14ac:dyDescent="0.25">
      <c r="A4" t="s">
        <v>24</v>
      </c>
      <c r="B4" s="7" t="s">
        <v>4</v>
      </c>
      <c r="C4" s="7" t="s">
        <v>34</v>
      </c>
      <c r="D4" s="7" t="s">
        <v>35</v>
      </c>
      <c r="E4" s="7" t="s">
        <v>28</v>
      </c>
      <c r="F4" s="7" t="s">
        <v>28</v>
      </c>
      <c r="G4" s="7"/>
      <c r="H4" s="7"/>
      <c r="I4" s="13" t="s">
        <v>36</v>
      </c>
      <c r="J4" s="13" t="str">
        <f t="shared" ref="J4:J7" si="2">RIGHT(I4,4)</f>
        <v>2019</v>
      </c>
      <c r="K4" s="13" t="s">
        <v>37</v>
      </c>
      <c r="L4" s="13" t="s">
        <v>37</v>
      </c>
      <c r="M4" s="13" t="s">
        <v>37</v>
      </c>
      <c r="N4" s="13"/>
      <c r="O4" s="14" t="s">
        <v>38</v>
      </c>
      <c r="P4" s="7" t="s">
        <v>39</v>
      </c>
      <c r="Q4" s="7" t="s">
        <v>40</v>
      </c>
      <c r="R4" s="7" t="s">
        <v>41</v>
      </c>
      <c r="S4" s="7" t="s">
        <v>42</v>
      </c>
      <c r="T4" s="7" t="s">
        <v>43</v>
      </c>
      <c r="U4" s="7">
        <v>742477</v>
      </c>
      <c r="V4" s="7" t="str">
        <f t="shared" ref="V4:V7" si="3">TEXT(DATEVALUE(LEFT(O4,10)), "mm/dd/yyyy")</f>
        <v>09/26/2019</v>
      </c>
      <c r="W4" s="7" t="s">
        <v>44</v>
      </c>
      <c r="X4" s="7" t="s">
        <v>45</v>
      </c>
    </row>
    <row r="5" spans="1:24" x14ac:dyDescent="0.25">
      <c r="A5" t="s">
        <v>24</v>
      </c>
      <c r="B5" t="s">
        <v>4</v>
      </c>
      <c r="C5" t="s">
        <v>46</v>
      </c>
      <c r="D5" t="s">
        <v>35</v>
      </c>
      <c r="E5" t="s">
        <v>26</v>
      </c>
      <c r="F5" t="s">
        <v>26</v>
      </c>
      <c r="G5" t="s">
        <v>27</v>
      </c>
      <c r="H5" t="s">
        <v>28</v>
      </c>
      <c r="I5" s="3" t="s">
        <v>36</v>
      </c>
      <c r="J5" s="3" t="str">
        <f t="shared" si="2"/>
        <v>2019</v>
      </c>
      <c r="K5" s="3"/>
      <c r="L5" s="3"/>
      <c r="M5" s="3"/>
      <c r="N5" s="3"/>
      <c r="O5" s="2" t="s">
        <v>47</v>
      </c>
      <c r="P5" t="s">
        <v>48</v>
      </c>
      <c r="Q5" t="s">
        <v>40</v>
      </c>
      <c r="R5" t="s">
        <v>41</v>
      </c>
      <c r="S5" t="s">
        <v>49</v>
      </c>
      <c r="T5" t="s">
        <v>43</v>
      </c>
      <c r="U5">
        <v>742478</v>
      </c>
      <c r="V5" t="str">
        <f t="shared" si="3"/>
        <v>09/26/2019</v>
      </c>
      <c r="W5" t="s">
        <v>44</v>
      </c>
    </row>
    <row r="6" spans="1:24" hidden="1" x14ac:dyDescent="0.25">
      <c r="A6" t="s">
        <v>24</v>
      </c>
      <c r="B6" s="7" t="s">
        <v>50</v>
      </c>
      <c r="C6" s="7" t="s">
        <v>51</v>
      </c>
      <c r="D6" s="7" t="s">
        <v>35</v>
      </c>
      <c r="E6" s="7" t="s">
        <v>28</v>
      </c>
      <c r="F6" s="7" t="s">
        <v>28</v>
      </c>
      <c r="G6" s="7"/>
      <c r="H6" s="7"/>
      <c r="I6" s="13" t="s">
        <v>52</v>
      </c>
      <c r="J6" s="13" t="str">
        <f t="shared" si="2"/>
        <v>2019</v>
      </c>
      <c r="K6" s="13" t="s">
        <v>53</v>
      </c>
      <c r="L6" s="30" t="s">
        <v>54</v>
      </c>
      <c r="M6" s="13" t="s">
        <v>37</v>
      </c>
      <c r="N6" s="13" t="s">
        <v>55</v>
      </c>
      <c r="O6" s="14" t="s">
        <v>56</v>
      </c>
      <c r="P6" s="7" t="s">
        <v>57</v>
      </c>
      <c r="Q6" s="7" t="s">
        <v>58</v>
      </c>
      <c r="R6" s="7" t="s">
        <v>59</v>
      </c>
      <c r="S6" s="7" t="s">
        <v>60</v>
      </c>
      <c r="T6" s="7" t="s">
        <v>43</v>
      </c>
      <c r="U6" s="7">
        <v>224869</v>
      </c>
      <c r="V6" s="7" t="str">
        <f t="shared" si="3"/>
        <v>10/25/2019</v>
      </c>
      <c r="W6" s="7" t="s">
        <v>44</v>
      </c>
      <c r="X6" s="7" t="s">
        <v>61</v>
      </c>
    </row>
    <row r="7" spans="1:24" ht="30" x14ac:dyDescent="0.25">
      <c r="A7" t="s">
        <v>24</v>
      </c>
      <c r="B7" s="7" t="s">
        <v>50</v>
      </c>
      <c r="C7" s="7" t="s">
        <v>62</v>
      </c>
      <c r="D7" s="7" t="s">
        <v>35</v>
      </c>
      <c r="E7" s="7" t="s">
        <v>26</v>
      </c>
      <c r="F7" s="7" t="s">
        <v>28</v>
      </c>
      <c r="G7" s="7"/>
      <c r="H7" s="7"/>
      <c r="I7" s="13" t="s">
        <v>52</v>
      </c>
      <c r="J7" s="13" t="str">
        <f t="shared" si="2"/>
        <v>2019</v>
      </c>
      <c r="K7" s="13" t="s">
        <v>63</v>
      </c>
      <c r="L7" s="13" t="s">
        <v>37</v>
      </c>
      <c r="M7" s="13" t="s">
        <v>37</v>
      </c>
      <c r="N7" s="29" t="s">
        <v>64</v>
      </c>
      <c r="O7" s="14" t="s">
        <v>65</v>
      </c>
      <c r="P7" s="7" t="s">
        <v>66</v>
      </c>
      <c r="Q7" s="7" t="s">
        <v>58</v>
      </c>
      <c r="R7" s="7" t="s">
        <v>59</v>
      </c>
      <c r="S7" s="7" t="s">
        <v>67</v>
      </c>
      <c r="T7" s="7" t="s">
        <v>43</v>
      </c>
      <c r="U7" s="7">
        <v>224871</v>
      </c>
      <c r="V7" s="7" t="str">
        <f t="shared" si="3"/>
        <v>10/25/2019</v>
      </c>
      <c r="W7" s="7" t="s">
        <v>44</v>
      </c>
      <c r="X7" s="7" t="s">
        <v>68</v>
      </c>
    </row>
    <row r="8" spans="1:24" hidden="1" x14ac:dyDescent="0.25">
      <c r="A8" t="s">
        <v>24</v>
      </c>
      <c r="B8" t="s">
        <v>50</v>
      </c>
      <c r="C8" t="s">
        <v>69</v>
      </c>
      <c r="D8" t="s">
        <v>35</v>
      </c>
      <c r="E8" t="s">
        <v>28</v>
      </c>
      <c r="F8" t="s">
        <v>28</v>
      </c>
      <c r="I8" s="3" t="s">
        <v>52</v>
      </c>
      <c r="J8" s="3" t="str">
        <f t="shared" ref="J8:J39" si="4">RIGHT(I8,4)</f>
        <v>2019</v>
      </c>
      <c r="K8" s="3" t="s">
        <v>53</v>
      </c>
      <c r="L8" s="8" t="s">
        <v>70</v>
      </c>
      <c r="M8" s="1" t="s">
        <v>71</v>
      </c>
      <c r="N8" s="27" t="s">
        <v>72</v>
      </c>
      <c r="O8" s="2" t="s">
        <v>73</v>
      </c>
      <c r="P8" t="s">
        <v>74</v>
      </c>
      <c r="Q8" t="s">
        <v>58</v>
      </c>
      <c r="R8" t="s">
        <v>59</v>
      </c>
      <c r="S8" t="s">
        <v>75</v>
      </c>
      <c r="T8" t="s">
        <v>43</v>
      </c>
      <c r="U8">
        <v>224872</v>
      </c>
      <c r="V8" t="str">
        <f t="shared" ref="V8:V39" si="5">TEXT(DATEVALUE(LEFT(O8,10)), "mm/dd/yyyy")</f>
        <v>10/25/2019</v>
      </c>
      <c r="W8" t="s">
        <v>44</v>
      </c>
      <c r="X8" t="s">
        <v>76</v>
      </c>
    </row>
    <row r="9" spans="1:24" ht="30" hidden="1" x14ac:dyDescent="0.25">
      <c r="A9" t="s">
        <v>24</v>
      </c>
      <c r="B9" s="7" t="s">
        <v>50</v>
      </c>
      <c r="C9" s="7" t="s">
        <v>77</v>
      </c>
      <c r="D9" s="7" t="s">
        <v>35</v>
      </c>
      <c r="E9" s="7" t="s">
        <v>28</v>
      </c>
      <c r="F9" s="7" t="s">
        <v>28</v>
      </c>
      <c r="G9" s="7"/>
      <c r="H9" s="7"/>
      <c r="I9" s="13" t="s">
        <v>78</v>
      </c>
      <c r="J9" s="13" t="str">
        <f t="shared" si="4"/>
        <v>2021</v>
      </c>
      <c r="K9" s="13" t="s">
        <v>79</v>
      </c>
      <c r="L9" s="30" t="s">
        <v>80</v>
      </c>
      <c r="M9" s="13" t="s">
        <v>37</v>
      </c>
      <c r="N9" s="29" t="s">
        <v>81</v>
      </c>
      <c r="O9" s="14" t="s">
        <v>82</v>
      </c>
      <c r="P9" s="7" t="s">
        <v>83</v>
      </c>
      <c r="Q9" s="7" t="s">
        <v>58</v>
      </c>
      <c r="R9" s="7" t="s">
        <v>59</v>
      </c>
      <c r="S9" s="7" t="s">
        <v>84</v>
      </c>
      <c r="T9" s="7" t="s">
        <v>43</v>
      </c>
      <c r="U9" s="7">
        <v>224875</v>
      </c>
      <c r="V9" s="7" t="str">
        <f t="shared" si="5"/>
        <v>02/05/2021</v>
      </c>
      <c r="W9" s="7" t="s">
        <v>44</v>
      </c>
      <c r="X9" s="7"/>
    </row>
    <row r="10" spans="1:24" ht="45" hidden="1" x14ac:dyDescent="0.25">
      <c r="A10" t="s">
        <v>24</v>
      </c>
      <c r="B10" t="s">
        <v>50</v>
      </c>
      <c r="C10" t="s">
        <v>85</v>
      </c>
      <c r="D10" t="s">
        <v>35</v>
      </c>
      <c r="E10" t="s">
        <v>28</v>
      </c>
      <c r="F10" t="s">
        <v>28</v>
      </c>
      <c r="I10" s="3" t="s">
        <v>86</v>
      </c>
      <c r="J10" s="3" t="str">
        <f t="shared" si="4"/>
        <v>2023</v>
      </c>
      <c r="K10" s="3" t="s">
        <v>87</v>
      </c>
      <c r="L10" s="3" t="s">
        <v>37</v>
      </c>
      <c r="M10" s="1" t="s">
        <v>88</v>
      </c>
      <c r="N10" s="27" t="s">
        <v>89</v>
      </c>
      <c r="O10" s="2" t="s">
        <v>90</v>
      </c>
      <c r="P10" t="s">
        <v>91</v>
      </c>
      <c r="Q10" t="s">
        <v>58</v>
      </c>
      <c r="R10" t="s">
        <v>59</v>
      </c>
      <c r="S10" t="s">
        <v>92</v>
      </c>
      <c r="T10" t="s">
        <v>43</v>
      </c>
      <c r="U10">
        <v>224876</v>
      </c>
      <c r="V10" t="str">
        <f t="shared" si="5"/>
        <v>02/23/2023</v>
      </c>
      <c r="W10" t="s">
        <v>44</v>
      </c>
    </row>
    <row r="11" spans="1:24" x14ac:dyDescent="0.25">
      <c r="A11" t="s">
        <v>24</v>
      </c>
      <c r="B11" t="s">
        <v>50</v>
      </c>
      <c r="C11" t="s">
        <v>93</v>
      </c>
      <c r="D11" t="s">
        <v>35</v>
      </c>
      <c r="E11" t="s">
        <v>26</v>
      </c>
      <c r="F11" t="s">
        <v>26</v>
      </c>
      <c r="G11" t="s">
        <v>27</v>
      </c>
      <c r="H11" t="s">
        <v>28</v>
      </c>
      <c r="I11" s="3" t="s">
        <v>52</v>
      </c>
      <c r="J11" s="3" t="str">
        <f t="shared" si="4"/>
        <v>2019</v>
      </c>
      <c r="K11" s="3"/>
      <c r="L11" s="3"/>
      <c r="M11" s="3"/>
      <c r="N11" s="3"/>
      <c r="O11" s="2" t="s">
        <v>94</v>
      </c>
      <c r="P11" t="s">
        <v>95</v>
      </c>
      <c r="Q11" t="s">
        <v>58</v>
      </c>
      <c r="R11" t="s">
        <v>59</v>
      </c>
      <c r="S11" t="s">
        <v>96</v>
      </c>
      <c r="T11" t="s">
        <v>43</v>
      </c>
      <c r="U11">
        <v>224874</v>
      </c>
      <c r="V11" t="str">
        <f t="shared" si="5"/>
        <v>10/25/2019</v>
      </c>
      <c r="W11" t="s">
        <v>44</v>
      </c>
    </row>
    <row r="12" spans="1:24" x14ac:dyDescent="0.25">
      <c r="A12" t="s">
        <v>24</v>
      </c>
      <c r="B12" t="s">
        <v>97</v>
      </c>
      <c r="C12" t="s">
        <v>98</v>
      </c>
      <c r="D12" t="s">
        <v>35</v>
      </c>
      <c r="E12" t="s">
        <v>26</v>
      </c>
      <c r="F12" t="s">
        <v>26</v>
      </c>
      <c r="G12" t="s">
        <v>27</v>
      </c>
      <c r="H12" t="s">
        <v>28</v>
      </c>
      <c r="I12" s="3" t="s">
        <v>99</v>
      </c>
      <c r="J12" s="3" t="str">
        <f t="shared" si="4"/>
        <v>2023</v>
      </c>
      <c r="K12" s="3"/>
      <c r="L12" s="3"/>
      <c r="M12" s="3"/>
      <c r="N12" s="3"/>
      <c r="O12" s="2" t="s">
        <v>100</v>
      </c>
      <c r="P12" t="s">
        <v>101</v>
      </c>
      <c r="Q12" t="s">
        <v>102</v>
      </c>
      <c r="R12" t="s">
        <v>103</v>
      </c>
      <c r="S12" t="s">
        <v>104</v>
      </c>
      <c r="T12" t="s">
        <v>43</v>
      </c>
      <c r="U12">
        <v>1239193</v>
      </c>
      <c r="V12" t="str">
        <f t="shared" si="5"/>
        <v>08/30/2023</v>
      </c>
      <c r="W12" t="s">
        <v>44</v>
      </c>
      <c r="X12" t="s">
        <v>105</v>
      </c>
    </row>
    <row r="13" spans="1:24" x14ac:dyDescent="0.25">
      <c r="A13" t="s">
        <v>24</v>
      </c>
      <c r="B13" s="7" t="s">
        <v>97</v>
      </c>
      <c r="C13" t="s">
        <v>106</v>
      </c>
      <c r="D13" t="s">
        <v>107</v>
      </c>
      <c r="E13" t="s">
        <v>26</v>
      </c>
      <c r="F13" t="s">
        <v>26</v>
      </c>
      <c r="G13" t="s">
        <v>27</v>
      </c>
      <c r="H13" t="s">
        <v>28</v>
      </c>
      <c r="I13" s="3" t="s">
        <v>108</v>
      </c>
      <c r="J13" s="3" t="str">
        <f t="shared" si="4"/>
        <v>2023</v>
      </c>
      <c r="K13" s="3"/>
      <c r="L13" s="3"/>
      <c r="M13" s="3"/>
      <c r="N13" s="3"/>
      <c r="O13" s="2" t="s">
        <v>109</v>
      </c>
      <c r="P13" t="s">
        <v>110</v>
      </c>
      <c r="Q13" t="s">
        <v>102</v>
      </c>
      <c r="R13" t="s">
        <v>103</v>
      </c>
      <c r="S13" t="s">
        <v>111</v>
      </c>
      <c r="T13" t="s">
        <v>43</v>
      </c>
      <c r="U13">
        <v>1239203</v>
      </c>
      <c r="V13" t="str">
        <f t="shared" si="5"/>
        <v>09/08/2023</v>
      </c>
      <c r="W13" t="s">
        <v>44</v>
      </c>
      <c r="X13" t="s">
        <v>112</v>
      </c>
    </row>
    <row r="14" spans="1:24" hidden="1" x14ac:dyDescent="0.25">
      <c r="A14" t="s">
        <v>24</v>
      </c>
      <c r="B14" s="7" t="s">
        <v>97</v>
      </c>
      <c r="C14" s="7" t="s">
        <v>113</v>
      </c>
      <c r="D14" s="7" t="s">
        <v>35</v>
      </c>
      <c r="E14" s="7" t="s">
        <v>28</v>
      </c>
      <c r="F14" s="7" t="s">
        <v>28</v>
      </c>
      <c r="G14" s="7"/>
      <c r="H14" s="7"/>
      <c r="I14" s="13" t="s">
        <v>52</v>
      </c>
      <c r="J14" s="13" t="str">
        <f t="shared" si="4"/>
        <v>2019</v>
      </c>
      <c r="K14" s="13"/>
      <c r="L14" s="13" t="s">
        <v>37</v>
      </c>
      <c r="M14" s="13" t="s">
        <v>37</v>
      </c>
      <c r="N14" s="13"/>
      <c r="O14" s="14" t="s">
        <v>114</v>
      </c>
      <c r="P14" s="7" t="s">
        <v>115</v>
      </c>
      <c r="Q14" s="7" t="s">
        <v>102</v>
      </c>
      <c r="R14" s="7" t="s">
        <v>103</v>
      </c>
      <c r="S14" s="7" t="s">
        <v>116</v>
      </c>
      <c r="T14" s="7" t="s">
        <v>43</v>
      </c>
      <c r="U14" s="7">
        <v>1239124</v>
      </c>
      <c r="V14" s="7" t="str">
        <f t="shared" si="5"/>
        <v>10/25/2019</v>
      </c>
      <c r="W14" s="7" t="s">
        <v>44</v>
      </c>
      <c r="X14" s="7" t="s">
        <v>98</v>
      </c>
    </row>
    <row r="15" spans="1:24" hidden="1" x14ac:dyDescent="0.25">
      <c r="A15" t="s">
        <v>24</v>
      </c>
      <c r="B15" s="7" t="s">
        <v>97</v>
      </c>
      <c r="C15" s="7" t="s">
        <v>69</v>
      </c>
      <c r="D15" s="7" t="s">
        <v>35</v>
      </c>
      <c r="E15" s="7" t="s">
        <v>28</v>
      </c>
      <c r="F15" s="7" t="s">
        <v>28</v>
      </c>
      <c r="G15" s="7"/>
      <c r="H15" s="7"/>
      <c r="I15" s="13" t="s">
        <v>52</v>
      </c>
      <c r="J15" s="13" t="str">
        <f t="shared" si="4"/>
        <v>2019</v>
      </c>
      <c r="K15" s="13"/>
      <c r="L15" s="13" t="s">
        <v>117</v>
      </c>
      <c r="M15" s="13" t="s">
        <v>37</v>
      </c>
      <c r="N15" s="13"/>
      <c r="O15" s="14" t="s">
        <v>118</v>
      </c>
      <c r="P15" s="7" t="s">
        <v>119</v>
      </c>
      <c r="Q15" s="7" t="s">
        <v>102</v>
      </c>
      <c r="R15" s="7" t="s">
        <v>103</v>
      </c>
      <c r="S15" s="7" t="s">
        <v>120</v>
      </c>
      <c r="T15" s="7" t="s">
        <v>43</v>
      </c>
      <c r="U15" s="7">
        <v>1239125</v>
      </c>
      <c r="V15" s="7" t="str">
        <f t="shared" si="5"/>
        <v>10/25/2019</v>
      </c>
      <c r="W15" s="7" t="s">
        <v>44</v>
      </c>
      <c r="X15" s="7" t="s">
        <v>121</v>
      </c>
    </row>
    <row r="16" spans="1:24" hidden="1" x14ac:dyDescent="0.25">
      <c r="A16" t="s">
        <v>24</v>
      </c>
      <c r="B16" s="7" t="s">
        <v>97</v>
      </c>
      <c r="C16" s="7" t="s">
        <v>122</v>
      </c>
      <c r="D16" s="7" t="s">
        <v>35</v>
      </c>
      <c r="E16" s="7" t="s">
        <v>28</v>
      </c>
      <c r="F16" s="7" t="s">
        <v>28</v>
      </c>
      <c r="G16" s="7"/>
      <c r="H16" s="7"/>
      <c r="I16" s="13" t="s">
        <v>52</v>
      </c>
      <c r="J16" s="13" t="str">
        <f t="shared" si="4"/>
        <v>2019</v>
      </c>
      <c r="K16" s="13"/>
      <c r="L16" s="13" t="s">
        <v>37</v>
      </c>
      <c r="M16" s="13" t="s">
        <v>37</v>
      </c>
      <c r="N16" s="13"/>
      <c r="O16" s="14" t="s">
        <v>123</v>
      </c>
      <c r="P16" s="7" t="s">
        <v>124</v>
      </c>
      <c r="Q16" s="7" t="s">
        <v>102</v>
      </c>
      <c r="R16" s="7" t="s">
        <v>103</v>
      </c>
      <c r="S16" s="7" t="s">
        <v>125</v>
      </c>
      <c r="T16" s="7" t="s">
        <v>43</v>
      </c>
      <c r="U16" s="7">
        <v>1239126</v>
      </c>
      <c r="V16" s="7" t="str">
        <f t="shared" si="5"/>
        <v>10/25/2019</v>
      </c>
      <c r="W16" s="7" t="s">
        <v>44</v>
      </c>
      <c r="X16" s="7" t="s">
        <v>126</v>
      </c>
    </row>
    <row r="17" spans="1:24" hidden="1" x14ac:dyDescent="0.25">
      <c r="A17" t="s">
        <v>24</v>
      </c>
      <c r="B17" t="s">
        <v>97</v>
      </c>
      <c r="C17" t="s">
        <v>127</v>
      </c>
      <c r="D17" t="s">
        <v>35</v>
      </c>
      <c r="E17" t="s">
        <v>28</v>
      </c>
      <c r="F17" t="s">
        <v>28</v>
      </c>
      <c r="I17" s="3" t="s">
        <v>52</v>
      </c>
      <c r="J17" s="3" t="str">
        <f t="shared" si="4"/>
        <v>2019</v>
      </c>
      <c r="K17" s="3"/>
      <c r="L17" s="3" t="s">
        <v>37</v>
      </c>
      <c r="M17" s="1" t="s">
        <v>128</v>
      </c>
      <c r="N17" s="3"/>
      <c r="O17" s="2" t="s">
        <v>129</v>
      </c>
      <c r="P17" t="s">
        <v>130</v>
      </c>
      <c r="Q17" t="s">
        <v>102</v>
      </c>
      <c r="R17" t="s">
        <v>103</v>
      </c>
      <c r="S17" t="s">
        <v>131</v>
      </c>
      <c r="T17" t="s">
        <v>43</v>
      </c>
      <c r="U17">
        <v>1239127</v>
      </c>
      <c r="V17" t="str">
        <f t="shared" si="5"/>
        <v>10/25/2019</v>
      </c>
      <c r="W17" t="s">
        <v>44</v>
      </c>
      <c r="X17" t="s">
        <v>132</v>
      </c>
    </row>
    <row r="18" spans="1:24" hidden="1" x14ac:dyDescent="0.25">
      <c r="A18" t="s">
        <v>24</v>
      </c>
      <c r="B18" s="7" t="s">
        <v>97</v>
      </c>
      <c r="C18" s="7" t="s">
        <v>133</v>
      </c>
      <c r="D18" s="7" t="s">
        <v>35</v>
      </c>
      <c r="E18" s="7" t="s">
        <v>28</v>
      </c>
      <c r="F18" s="7" t="s">
        <v>28</v>
      </c>
      <c r="G18" s="7"/>
      <c r="H18" s="7"/>
      <c r="I18" s="13" t="s">
        <v>52</v>
      </c>
      <c r="J18" s="13" t="str">
        <f t="shared" si="4"/>
        <v>2019</v>
      </c>
      <c r="K18" s="13"/>
      <c r="L18" s="30" t="s">
        <v>134</v>
      </c>
      <c r="M18" s="13" t="s">
        <v>37</v>
      </c>
      <c r="N18" s="13"/>
      <c r="O18" s="14" t="s">
        <v>135</v>
      </c>
      <c r="P18" s="7" t="s">
        <v>136</v>
      </c>
      <c r="Q18" s="7" t="s">
        <v>102</v>
      </c>
      <c r="R18" s="7" t="s">
        <v>103</v>
      </c>
      <c r="S18" s="7" t="s">
        <v>137</v>
      </c>
      <c r="T18" s="7" t="s">
        <v>43</v>
      </c>
      <c r="U18" s="7">
        <v>1239131</v>
      </c>
      <c r="V18" s="7" t="str">
        <f t="shared" si="5"/>
        <v>10/25/2019</v>
      </c>
      <c r="W18" s="7" t="s">
        <v>44</v>
      </c>
      <c r="X18" s="7" t="s">
        <v>138</v>
      </c>
    </row>
    <row r="19" spans="1:24" hidden="1" x14ac:dyDescent="0.25">
      <c r="A19" t="s">
        <v>24</v>
      </c>
      <c r="B19" s="7" t="s">
        <v>97</v>
      </c>
      <c r="C19" s="7" t="s">
        <v>139</v>
      </c>
      <c r="D19" s="7" t="s">
        <v>35</v>
      </c>
      <c r="E19" s="7" t="s">
        <v>28</v>
      </c>
      <c r="F19" s="7" t="s">
        <v>28</v>
      </c>
      <c r="G19" s="7"/>
      <c r="H19" s="7"/>
      <c r="I19" s="13" t="s">
        <v>52</v>
      </c>
      <c r="J19" s="13" t="str">
        <f t="shared" si="4"/>
        <v>2019</v>
      </c>
      <c r="K19" s="13"/>
      <c r="L19" s="13" t="s">
        <v>37</v>
      </c>
      <c r="M19" s="13" t="s">
        <v>37</v>
      </c>
      <c r="N19" s="13"/>
      <c r="O19" s="14" t="s">
        <v>140</v>
      </c>
      <c r="P19" s="7" t="s">
        <v>141</v>
      </c>
      <c r="Q19" s="7" t="s">
        <v>102</v>
      </c>
      <c r="R19" s="7" t="s">
        <v>103</v>
      </c>
      <c r="S19" s="7" t="s">
        <v>142</v>
      </c>
      <c r="T19" s="7" t="s">
        <v>43</v>
      </c>
      <c r="U19" s="7">
        <v>1239132</v>
      </c>
      <c r="V19" s="7" t="str">
        <f t="shared" si="5"/>
        <v>10/25/2019</v>
      </c>
      <c r="W19" s="7" t="s">
        <v>44</v>
      </c>
      <c r="X19" s="7" t="s">
        <v>143</v>
      </c>
    </row>
    <row r="20" spans="1:24" hidden="1" x14ac:dyDescent="0.25">
      <c r="A20" t="s">
        <v>24</v>
      </c>
      <c r="B20" s="7" t="s">
        <v>97</v>
      </c>
      <c r="C20" s="7" t="s">
        <v>144</v>
      </c>
      <c r="D20" s="7" t="s">
        <v>35</v>
      </c>
      <c r="E20" s="7" t="s">
        <v>28</v>
      </c>
      <c r="F20" s="7" t="s">
        <v>28</v>
      </c>
      <c r="G20" s="7"/>
      <c r="H20" s="7"/>
      <c r="I20" s="13" t="s">
        <v>52</v>
      </c>
      <c r="J20" s="13" t="str">
        <f t="shared" si="4"/>
        <v>2019</v>
      </c>
      <c r="K20" s="13"/>
      <c r="L20" s="13" t="s">
        <v>37</v>
      </c>
      <c r="M20" s="13" t="s">
        <v>37</v>
      </c>
      <c r="N20" s="13"/>
      <c r="O20" s="14" t="s">
        <v>145</v>
      </c>
      <c r="P20" s="7" t="s">
        <v>146</v>
      </c>
      <c r="Q20" s="7" t="s">
        <v>102</v>
      </c>
      <c r="R20" s="7" t="s">
        <v>103</v>
      </c>
      <c r="S20" s="7" t="s">
        <v>147</v>
      </c>
      <c r="T20" s="7" t="s">
        <v>43</v>
      </c>
      <c r="U20" s="7">
        <v>1239133</v>
      </c>
      <c r="V20" s="7" t="str">
        <f t="shared" si="5"/>
        <v>10/25/2019</v>
      </c>
      <c r="W20" s="7" t="s">
        <v>44</v>
      </c>
      <c r="X20" s="7" t="s">
        <v>148</v>
      </c>
    </row>
    <row r="21" spans="1:24" hidden="1" x14ac:dyDescent="0.25">
      <c r="A21" t="s">
        <v>24</v>
      </c>
      <c r="B21" t="s">
        <v>97</v>
      </c>
      <c r="C21" t="s">
        <v>85</v>
      </c>
      <c r="D21" t="s">
        <v>35</v>
      </c>
      <c r="E21" t="s">
        <v>28</v>
      </c>
      <c r="F21" t="s">
        <v>28</v>
      </c>
      <c r="I21" s="3" t="s">
        <v>149</v>
      </c>
      <c r="J21" s="3" t="str">
        <f t="shared" si="4"/>
        <v>2019</v>
      </c>
      <c r="K21" s="3" t="s">
        <v>87</v>
      </c>
      <c r="L21" s="8" t="s">
        <v>150</v>
      </c>
      <c r="M21" s="1" t="s">
        <v>151</v>
      </c>
      <c r="N21" s="27" t="s">
        <v>152</v>
      </c>
      <c r="O21" s="2" t="s">
        <v>153</v>
      </c>
      <c r="P21" t="s">
        <v>154</v>
      </c>
      <c r="Q21" t="s">
        <v>102</v>
      </c>
      <c r="R21" t="s">
        <v>103</v>
      </c>
      <c r="S21" t="s">
        <v>155</v>
      </c>
      <c r="T21" t="s">
        <v>43</v>
      </c>
      <c r="U21">
        <v>1239151</v>
      </c>
      <c r="V21" t="str">
        <f t="shared" si="5"/>
        <v>11/07/2019</v>
      </c>
      <c r="W21" t="s">
        <v>44</v>
      </c>
      <c r="X21" t="s">
        <v>156</v>
      </c>
    </row>
    <row r="22" spans="1:24" hidden="1" x14ac:dyDescent="0.25">
      <c r="A22" t="s">
        <v>24</v>
      </c>
      <c r="B22" s="7" t="s">
        <v>97</v>
      </c>
      <c r="C22" s="7" t="s">
        <v>157</v>
      </c>
      <c r="D22" s="7" t="s">
        <v>35</v>
      </c>
      <c r="E22" s="7" t="s">
        <v>28</v>
      </c>
      <c r="F22" s="7" t="s">
        <v>28</v>
      </c>
      <c r="G22" s="7"/>
      <c r="H22" s="7"/>
      <c r="I22" s="13" t="s">
        <v>52</v>
      </c>
      <c r="J22" s="13" t="str">
        <f t="shared" si="4"/>
        <v>2019</v>
      </c>
      <c r="K22" s="13"/>
      <c r="L22" s="13" t="s">
        <v>37</v>
      </c>
      <c r="M22" s="13" t="s">
        <v>37</v>
      </c>
      <c r="N22" s="13"/>
      <c r="O22" s="14" t="s">
        <v>158</v>
      </c>
      <c r="P22" s="7" t="s">
        <v>159</v>
      </c>
      <c r="Q22" s="7" t="s">
        <v>102</v>
      </c>
      <c r="R22" s="7" t="s">
        <v>103</v>
      </c>
      <c r="S22" s="7" t="s">
        <v>160</v>
      </c>
      <c r="T22" s="7" t="s">
        <v>43</v>
      </c>
      <c r="U22" s="7">
        <v>1239135</v>
      </c>
      <c r="V22" s="7" t="str">
        <f t="shared" si="5"/>
        <v>10/25/2019</v>
      </c>
      <c r="W22" s="7" t="s">
        <v>44</v>
      </c>
      <c r="X22" s="7" t="s">
        <v>161</v>
      </c>
    </row>
    <row r="23" spans="1:24" hidden="1" x14ac:dyDescent="0.25">
      <c r="A23" t="s">
        <v>24</v>
      </c>
      <c r="B23" t="s">
        <v>97</v>
      </c>
      <c r="C23" t="s">
        <v>162</v>
      </c>
      <c r="D23" t="s">
        <v>35</v>
      </c>
      <c r="E23" t="s">
        <v>28</v>
      </c>
      <c r="F23" t="s">
        <v>28</v>
      </c>
      <c r="I23" s="3" t="s">
        <v>52</v>
      </c>
      <c r="J23" s="3" t="str">
        <f t="shared" si="4"/>
        <v>2019</v>
      </c>
      <c r="K23" s="3" t="s">
        <v>63</v>
      </c>
      <c r="L23" s="8" t="s">
        <v>163</v>
      </c>
      <c r="M23" s="1" t="s">
        <v>164</v>
      </c>
      <c r="N23" s="27" t="s">
        <v>165</v>
      </c>
      <c r="O23" s="2" t="s">
        <v>166</v>
      </c>
      <c r="P23" t="s">
        <v>167</v>
      </c>
      <c r="Q23" t="s">
        <v>102</v>
      </c>
      <c r="R23" t="s">
        <v>103</v>
      </c>
      <c r="S23" t="s">
        <v>168</v>
      </c>
      <c r="T23" t="s">
        <v>43</v>
      </c>
      <c r="U23">
        <v>1239137</v>
      </c>
      <c r="V23" t="str">
        <f t="shared" si="5"/>
        <v>10/25/2019</v>
      </c>
      <c r="W23" t="s">
        <v>44</v>
      </c>
    </row>
    <row r="24" spans="1:24" hidden="1" x14ac:dyDescent="0.25">
      <c r="A24" t="s">
        <v>24</v>
      </c>
      <c r="B24" t="s">
        <v>97</v>
      </c>
      <c r="C24" t="s">
        <v>169</v>
      </c>
      <c r="D24" t="s">
        <v>35</v>
      </c>
      <c r="E24" t="s">
        <v>28</v>
      </c>
      <c r="F24" t="s">
        <v>28</v>
      </c>
      <c r="I24" s="3" t="s">
        <v>52</v>
      </c>
      <c r="J24" s="3" t="str">
        <f t="shared" si="4"/>
        <v>2019</v>
      </c>
      <c r="K24" s="3"/>
      <c r="L24" s="3" t="s">
        <v>37</v>
      </c>
      <c r="M24" s="1" t="s">
        <v>170</v>
      </c>
      <c r="N24" s="3"/>
      <c r="O24" s="2" t="s">
        <v>171</v>
      </c>
      <c r="P24" t="s">
        <v>172</v>
      </c>
      <c r="Q24" t="s">
        <v>102</v>
      </c>
      <c r="R24" t="s">
        <v>103</v>
      </c>
      <c r="S24" t="s">
        <v>173</v>
      </c>
      <c r="T24" t="s">
        <v>43</v>
      </c>
      <c r="U24">
        <v>1239138</v>
      </c>
      <c r="V24" t="str">
        <f t="shared" si="5"/>
        <v>10/25/2019</v>
      </c>
      <c r="W24" t="s">
        <v>44</v>
      </c>
      <c r="X24" t="s">
        <v>174</v>
      </c>
    </row>
    <row r="25" spans="1:24" hidden="1" x14ac:dyDescent="0.25">
      <c r="A25" t="s">
        <v>24</v>
      </c>
      <c r="B25" t="s">
        <v>97</v>
      </c>
      <c r="C25" t="s">
        <v>175</v>
      </c>
      <c r="D25" t="s">
        <v>35</v>
      </c>
      <c r="E25" t="s">
        <v>28</v>
      </c>
      <c r="F25" t="s">
        <v>28</v>
      </c>
      <c r="I25" s="3" t="s">
        <v>52</v>
      </c>
      <c r="J25" s="3" t="str">
        <f t="shared" si="4"/>
        <v>2019</v>
      </c>
      <c r="K25" s="3"/>
      <c r="L25" s="3" t="s">
        <v>37</v>
      </c>
      <c r="M25" s="1" t="s">
        <v>176</v>
      </c>
      <c r="N25" s="3"/>
      <c r="O25" s="2" t="s">
        <v>177</v>
      </c>
      <c r="P25" t="s">
        <v>178</v>
      </c>
      <c r="Q25" t="s">
        <v>102</v>
      </c>
      <c r="R25" t="s">
        <v>103</v>
      </c>
      <c r="S25" t="s">
        <v>179</v>
      </c>
      <c r="T25" t="s">
        <v>43</v>
      </c>
      <c r="U25">
        <v>1239141</v>
      </c>
      <c r="V25" t="str">
        <f t="shared" si="5"/>
        <v>10/25/2019</v>
      </c>
      <c r="W25" t="s">
        <v>44</v>
      </c>
      <c r="X25" t="s">
        <v>180</v>
      </c>
    </row>
    <row r="26" spans="1:24" hidden="1" x14ac:dyDescent="0.25">
      <c r="A26" t="s">
        <v>24</v>
      </c>
      <c r="B26" s="7" t="s">
        <v>97</v>
      </c>
      <c r="C26" s="7" t="s">
        <v>181</v>
      </c>
      <c r="D26" s="7" t="s">
        <v>35</v>
      </c>
      <c r="E26" s="7" t="s">
        <v>28</v>
      </c>
      <c r="F26" s="7" t="s">
        <v>28</v>
      </c>
      <c r="G26" s="7"/>
      <c r="H26" s="7"/>
      <c r="I26" s="13" t="s">
        <v>52</v>
      </c>
      <c r="J26" s="13" t="str">
        <f t="shared" si="4"/>
        <v>2019</v>
      </c>
      <c r="K26" s="13"/>
      <c r="L26" s="13" t="s">
        <v>87</v>
      </c>
      <c r="M26" s="13" t="s">
        <v>37</v>
      </c>
      <c r="N26" s="13"/>
      <c r="O26" s="14" t="s">
        <v>182</v>
      </c>
      <c r="P26" s="7" t="s">
        <v>183</v>
      </c>
      <c r="Q26" s="7" t="s">
        <v>102</v>
      </c>
      <c r="R26" s="7" t="s">
        <v>103</v>
      </c>
      <c r="S26" s="7" t="s">
        <v>184</v>
      </c>
      <c r="T26" s="7" t="s">
        <v>43</v>
      </c>
      <c r="U26" s="7">
        <v>1239142</v>
      </c>
      <c r="V26" s="7" t="str">
        <f t="shared" si="5"/>
        <v>10/25/2019</v>
      </c>
      <c r="W26" s="7" t="s">
        <v>44</v>
      </c>
      <c r="X26" s="7" t="s">
        <v>185</v>
      </c>
    </row>
    <row r="27" spans="1:24" ht="45" hidden="1" x14ac:dyDescent="0.25">
      <c r="A27" t="s">
        <v>24</v>
      </c>
      <c r="B27" t="s">
        <v>97</v>
      </c>
      <c r="C27" t="s">
        <v>186</v>
      </c>
      <c r="D27" t="s">
        <v>35</v>
      </c>
      <c r="E27" t="s">
        <v>28</v>
      </c>
      <c r="F27" t="s">
        <v>28</v>
      </c>
      <c r="I27" s="3" t="s">
        <v>52</v>
      </c>
      <c r="J27" s="3" t="str">
        <f t="shared" si="4"/>
        <v>2019</v>
      </c>
      <c r="K27" s="3" t="s">
        <v>87</v>
      </c>
      <c r="L27" s="8" t="s">
        <v>187</v>
      </c>
      <c r="M27" s="1" t="s">
        <v>188</v>
      </c>
      <c r="N27" s="27" t="s">
        <v>189</v>
      </c>
      <c r="O27" s="2" t="s">
        <v>190</v>
      </c>
      <c r="P27" t="s">
        <v>191</v>
      </c>
      <c r="Q27" t="s">
        <v>102</v>
      </c>
      <c r="R27" t="s">
        <v>103</v>
      </c>
      <c r="S27" t="s">
        <v>192</v>
      </c>
      <c r="T27" t="s">
        <v>43</v>
      </c>
      <c r="U27">
        <v>1239144</v>
      </c>
      <c r="V27" t="str">
        <f t="shared" si="5"/>
        <v>10/25/2019</v>
      </c>
      <c r="W27" t="s">
        <v>44</v>
      </c>
      <c r="X27" t="s">
        <v>193</v>
      </c>
    </row>
    <row r="28" spans="1:24" ht="45" hidden="1" x14ac:dyDescent="0.25">
      <c r="A28" t="s">
        <v>24</v>
      </c>
      <c r="B28" t="s">
        <v>97</v>
      </c>
      <c r="C28" t="s">
        <v>77</v>
      </c>
      <c r="D28" t="s">
        <v>35</v>
      </c>
      <c r="E28" t="s">
        <v>28</v>
      </c>
      <c r="F28" t="s">
        <v>28</v>
      </c>
      <c r="I28" s="3" t="s">
        <v>194</v>
      </c>
      <c r="J28" s="3" t="str">
        <f t="shared" si="4"/>
        <v>2019</v>
      </c>
      <c r="K28" s="3" t="s">
        <v>195</v>
      </c>
      <c r="L28" s="8" t="s">
        <v>196</v>
      </c>
      <c r="M28" s="1" t="s">
        <v>197</v>
      </c>
      <c r="N28" s="27" t="s">
        <v>198</v>
      </c>
      <c r="O28" s="2" t="s">
        <v>199</v>
      </c>
      <c r="P28" t="s">
        <v>200</v>
      </c>
      <c r="Q28" t="s">
        <v>102</v>
      </c>
      <c r="R28" t="s">
        <v>103</v>
      </c>
      <c r="S28" t="s">
        <v>201</v>
      </c>
      <c r="T28" t="s">
        <v>43</v>
      </c>
      <c r="U28">
        <v>1239150</v>
      </c>
      <c r="V28" t="str">
        <f t="shared" si="5"/>
        <v>10/28/2019</v>
      </c>
      <c r="W28" t="s">
        <v>44</v>
      </c>
      <c r="X28" t="s">
        <v>202</v>
      </c>
    </row>
    <row r="29" spans="1:24" hidden="1" x14ac:dyDescent="0.25">
      <c r="A29" t="s">
        <v>24</v>
      </c>
      <c r="B29" s="7" t="s">
        <v>97</v>
      </c>
      <c r="C29" s="7" t="s">
        <v>93</v>
      </c>
      <c r="D29" s="7" t="s">
        <v>35</v>
      </c>
      <c r="E29" s="7" t="s">
        <v>28</v>
      </c>
      <c r="F29" s="7" t="s">
        <v>28</v>
      </c>
      <c r="G29" s="7"/>
      <c r="H29" s="7"/>
      <c r="I29" s="13" t="s">
        <v>52</v>
      </c>
      <c r="J29" s="13" t="str">
        <f t="shared" si="4"/>
        <v>2019</v>
      </c>
      <c r="K29" s="13"/>
      <c r="L29" s="13" t="s">
        <v>37</v>
      </c>
      <c r="M29" s="13" t="s">
        <v>37</v>
      </c>
      <c r="N29" s="13"/>
      <c r="O29" s="14" t="s">
        <v>203</v>
      </c>
      <c r="P29" s="7" t="s">
        <v>204</v>
      </c>
      <c r="Q29" s="7" t="s">
        <v>102</v>
      </c>
      <c r="R29" s="7" t="s">
        <v>103</v>
      </c>
      <c r="S29" s="7" t="s">
        <v>205</v>
      </c>
      <c r="T29" s="7" t="s">
        <v>43</v>
      </c>
      <c r="U29" s="7">
        <v>1239148</v>
      </c>
      <c r="V29" s="7" t="str">
        <f t="shared" si="5"/>
        <v>10/25/2019</v>
      </c>
      <c r="W29" s="7" t="s">
        <v>44</v>
      </c>
      <c r="X29" s="7"/>
    </row>
    <row r="30" spans="1:24" hidden="1" x14ac:dyDescent="0.25">
      <c r="A30" t="s">
        <v>24</v>
      </c>
      <c r="B30" s="7" t="s">
        <v>97</v>
      </c>
      <c r="C30" s="7" t="s">
        <v>206</v>
      </c>
      <c r="D30" s="7" t="s">
        <v>35</v>
      </c>
      <c r="E30" s="7" t="s">
        <v>28</v>
      </c>
      <c r="F30" s="7" t="s">
        <v>28</v>
      </c>
      <c r="G30" s="7"/>
      <c r="H30" s="7"/>
      <c r="I30" s="13" t="s">
        <v>52</v>
      </c>
      <c r="J30" s="13" t="str">
        <f t="shared" si="4"/>
        <v>2019</v>
      </c>
      <c r="K30" s="13"/>
      <c r="L30" s="13" t="s">
        <v>37</v>
      </c>
      <c r="M30" s="13" t="s">
        <v>37</v>
      </c>
      <c r="N30" s="13"/>
      <c r="O30" s="14" t="s">
        <v>207</v>
      </c>
      <c r="P30" s="7" t="s">
        <v>208</v>
      </c>
      <c r="Q30" s="7" t="s">
        <v>102</v>
      </c>
      <c r="R30" s="7" t="s">
        <v>103</v>
      </c>
      <c r="S30" s="7" t="s">
        <v>209</v>
      </c>
      <c r="T30" s="7" t="s">
        <v>43</v>
      </c>
      <c r="U30" s="7">
        <v>1239149</v>
      </c>
      <c r="V30" s="7" t="str">
        <f t="shared" si="5"/>
        <v>10/25/2019</v>
      </c>
      <c r="W30" s="7" t="s">
        <v>44</v>
      </c>
      <c r="X30" s="7"/>
    </row>
    <row r="31" spans="1:24" hidden="1" x14ac:dyDescent="0.25">
      <c r="A31" t="s">
        <v>24</v>
      </c>
      <c r="B31" t="s">
        <v>97</v>
      </c>
      <c r="C31" t="s">
        <v>62</v>
      </c>
      <c r="D31" t="s">
        <v>35</v>
      </c>
      <c r="E31" t="s">
        <v>28</v>
      </c>
      <c r="F31" t="s">
        <v>28</v>
      </c>
      <c r="I31" s="3" t="s">
        <v>210</v>
      </c>
      <c r="J31" s="3" t="str">
        <f t="shared" si="4"/>
        <v>2020</v>
      </c>
      <c r="K31" s="3"/>
      <c r="L31" s="1" t="s">
        <v>211</v>
      </c>
      <c r="M31" s="1" t="s">
        <v>212</v>
      </c>
      <c r="N31" s="3"/>
      <c r="O31" s="2" t="s">
        <v>213</v>
      </c>
      <c r="P31" t="s">
        <v>214</v>
      </c>
      <c r="Q31" t="s">
        <v>102</v>
      </c>
      <c r="R31" t="s">
        <v>103</v>
      </c>
      <c r="S31" t="s">
        <v>215</v>
      </c>
      <c r="T31" t="s">
        <v>43</v>
      </c>
      <c r="U31">
        <v>1239152</v>
      </c>
      <c r="V31" t="str">
        <f t="shared" si="5"/>
        <v>04/27/2020</v>
      </c>
      <c r="W31" t="s">
        <v>44</v>
      </c>
      <c r="X31" t="s">
        <v>216</v>
      </c>
    </row>
    <row r="32" spans="1:24" ht="120" hidden="1" x14ac:dyDescent="0.25">
      <c r="A32" t="s">
        <v>24</v>
      </c>
      <c r="B32" t="s">
        <v>97</v>
      </c>
      <c r="C32" t="s">
        <v>217</v>
      </c>
      <c r="D32" t="s">
        <v>35</v>
      </c>
      <c r="E32" t="s">
        <v>28</v>
      </c>
      <c r="F32" t="s">
        <v>28</v>
      </c>
      <c r="I32" s="3" t="s">
        <v>1867</v>
      </c>
      <c r="J32" s="3" t="str">
        <f t="shared" si="4"/>
        <v>2020</v>
      </c>
      <c r="K32" s="3" t="s">
        <v>218</v>
      </c>
      <c r="L32" s="8" t="s">
        <v>219</v>
      </c>
      <c r="M32" s="1" t="s">
        <v>220</v>
      </c>
      <c r="N32" s="27" t="s">
        <v>221</v>
      </c>
      <c r="O32" s="2" t="s">
        <v>222</v>
      </c>
      <c r="P32" t="s">
        <v>223</v>
      </c>
      <c r="Q32" t="s">
        <v>102</v>
      </c>
      <c r="R32" t="s">
        <v>103</v>
      </c>
      <c r="S32" t="s">
        <v>224</v>
      </c>
      <c r="T32" t="s">
        <v>43</v>
      </c>
      <c r="U32">
        <v>1239153</v>
      </c>
      <c r="V32" t="str">
        <f t="shared" si="5"/>
        <v>05/20/2020</v>
      </c>
      <c r="W32" t="s">
        <v>44</v>
      </c>
      <c r="X32" t="s">
        <v>225</v>
      </c>
    </row>
    <row r="33" spans="1:24" ht="60" hidden="1" x14ac:dyDescent="0.25">
      <c r="A33" t="s">
        <v>24</v>
      </c>
      <c r="B33" t="s">
        <v>97</v>
      </c>
      <c r="C33" t="s">
        <v>226</v>
      </c>
      <c r="D33" t="s">
        <v>35</v>
      </c>
      <c r="E33" t="s">
        <v>28</v>
      </c>
      <c r="F33" t="s">
        <v>28</v>
      </c>
      <c r="I33" s="3" t="s">
        <v>227</v>
      </c>
      <c r="J33" s="3" t="str">
        <f t="shared" si="4"/>
        <v>2020</v>
      </c>
      <c r="K33" s="3" t="s">
        <v>228</v>
      </c>
      <c r="L33" s="1" t="s">
        <v>211</v>
      </c>
      <c r="M33" s="1" t="s">
        <v>229</v>
      </c>
      <c r="N33" s="27" t="s">
        <v>230</v>
      </c>
      <c r="O33" s="2" t="s">
        <v>231</v>
      </c>
      <c r="P33" t="s">
        <v>232</v>
      </c>
      <c r="Q33" t="s">
        <v>102</v>
      </c>
      <c r="R33" t="s">
        <v>103</v>
      </c>
      <c r="S33" t="s">
        <v>233</v>
      </c>
      <c r="T33" t="s">
        <v>43</v>
      </c>
      <c r="U33">
        <v>1239154</v>
      </c>
      <c r="V33" t="str">
        <f t="shared" si="5"/>
        <v>07/30/2020</v>
      </c>
      <c r="W33" t="s">
        <v>44</v>
      </c>
      <c r="X33" t="s">
        <v>234</v>
      </c>
    </row>
    <row r="34" spans="1:24" ht="75" hidden="1" x14ac:dyDescent="0.25">
      <c r="A34" t="s">
        <v>24</v>
      </c>
      <c r="B34" t="s">
        <v>97</v>
      </c>
      <c r="C34" t="s">
        <v>235</v>
      </c>
      <c r="D34" t="s">
        <v>35</v>
      </c>
      <c r="E34" t="s">
        <v>28</v>
      </c>
      <c r="F34" t="s">
        <v>28</v>
      </c>
      <c r="I34" s="3" t="s">
        <v>236</v>
      </c>
      <c r="J34" s="3" t="str">
        <f t="shared" si="4"/>
        <v>2021</v>
      </c>
      <c r="K34" s="27" t="s">
        <v>237</v>
      </c>
      <c r="L34" s="8" t="s">
        <v>238</v>
      </c>
      <c r="M34" s="1" t="s">
        <v>239</v>
      </c>
      <c r="N34" s="27" t="s">
        <v>240</v>
      </c>
      <c r="O34" s="2" t="s">
        <v>241</v>
      </c>
      <c r="P34" t="s">
        <v>242</v>
      </c>
      <c r="Q34" t="s">
        <v>102</v>
      </c>
      <c r="R34" t="s">
        <v>103</v>
      </c>
      <c r="S34" t="s">
        <v>243</v>
      </c>
      <c r="T34" t="s">
        <v>43</v>
      </c>
      <c r="U34">
        <v>1239155</v>
      </c>
      <c r="V34" t="str">
        <f t="shared" si="5"/>
        <v>11/08/2021</v>
      </c>
      <c r="W34" t="s">
        <v>44</v>
      </c>
      <c r="X34" t="s">
        <v>244</v>
      </c>
    </row>
    <row r="35" spans="1:24" hidden="1" x14ac:dyDescent="0.25">
      <c r="A35" t="s">
        <v>24</v>
      </c>
      <c r="B35" t="s">
        <v>97</v>
      </c>
      <c r="C35" t="s">
        <v>245</v>
      </c>
      <c r="D35" t="s">
        <v>35</v>
      </c>
      <c r="E35" t="s">
        <v>28</v>
      </c>
      <c r="F35" t="s">
        <v>28</v>
      </c>
      <c r="I35" s="3">
        <v>45147</v>
      </c>
      <c r="J35" s="3" t="str">
        <f t="shared" si="4"/>
        <v>5147</v>
      </c>
      <c r="K35" s="3" t="s">
        <v>246</v>
      </c>
      <c r="L35" s="8" t="s">
        <v>247</v>
      </c>
      <c r="M35" s="1" t="s">
        <v>248</v>
      </c>
      <c r="N35" s="3"/>
      <c r="O35" s="2" t="s">
        <v>249</v>
      </c>
      <c r="P35" t="s">
        <v>250</v>
      </c>
      <c r="Q35" t="s">
        <v>102</v>
      </c>
      <c r="R35" t="s">
        <v>103</v>
      </c>
      <c r="S35" t="s">
        <v>251</v>
      </c>
      <c r="T35" t="s">
        <v>43</v>
      </c>
      <c r="U35">
        <v>1239185</v>
      </c>
      <c r="V35" t="str">
        <f t="shared" si="5"/>
        <v>08/09/2023</v>
      </c>
      <c r="W35" t="s">
        <v>44</v>
      </c>
      <c r="X35" t="s">
        <v>252</v>
      </c>
    </row>
    <row r="36" spans="1:24" x14ac:dyDescent="0.25">
      <c r="A36" t="s">
        <v>24</v>
      </c>
      <c r="B36" t="s">
        <v>97</v>
      </c>
      <c r="C36" t="s">
        <v>253</v>
      </c>
      <c r="D36" t="s">
        <v>35</v>
      </c>
      <c r="E36" t="s">
        <v>26</v>
      </c>
      <c r="F36" t="s">
        <v>26</v>
      </c>
      <c r="G36" t="s">
        <v>27</v>
      </c>
      <c r="H36" t="s">
        <v>28</v>
      </c>
      <c r="I36" s="3" t="s">
        <v>52</v>
      </c>
      <c r="J36" s="3" t="str">
        <f t="shared" si="4"/>
        <v>2019</v>
      </c>
      <c r="K36" s="3"/>
      <c r="L36" s="3"/>
      <c r="M36" s="3"/>
      <c r="N36" s="3"/>
      <c r="O36" s="2" t="s">
        <v>254</v>
      </c>
      <c r="P36" t="s">
        <v>255</v>
      </c>
      <c r="Q36" t="s">
        <v>102</v>
      </c>
      <c r="R36" t="s">
        <v>103</v>
      </c>
      <c r="S36" t="s">
        <v>256</v>
      </c>
      <c r="T36" t="s">
        <v>43</v>
      </c>
      <c r="U36">
        <v>1239129</v>
      </c>
      <c r="V36" t="str">
        <f t="shared" si="5"/>
        <v>10/25/2019</v>
      </c>
      <c r="W36" t="s">
        <v>44</v>
      </c>
      <c r="X36" t="s">
        <v>257</v>
      </c>
    </row>
    <row r="37" spans="1:24" x14ac:dyDescent="0.25">
      <c r="A37" t="s">
        <v>24</v>
      </c>
      <c r="B37" t="s">
        <v>97</v>
      </c>
      <c r="C37" t="s">
        <v>258</v>
      </c>
      <c r="D37" t="s">
        <v>35</v>
      </c>
      <c r="E37" t="s">
        <v>26</v>
      </c>
      <c r="F37" t="s">
        <v>26</v>
      </c>
      <c r="G37" t="s">
        <v>27</v>
      </c>
      <c r="H37" t="s">
        <v>28</v>
      </c>
      <c r="I37" s="3" t="s">
        <v>52</v>
      </c>
      <c r="J37" s="3" t="str">
        <f t="shared" si="4"/>
        <v>2019</v>
      </c>
      <c r="K37" s="3"/>
      <c r="L37" s="3"/>
      <c r="M37" s="3"/>
      <c r="N37" s="3"/>
      <c r="O37" s="2" t="s">
        <v>259</v>
      </c>
      <c r="P37" t="s">
        <v>260</v>
      </c>
      <c r="Q37" t="s">
        <v>102</v>
      </c>
      <c r="R37" t="s">
        <v>103</v>
      </c>
      <c r="S37" t="s">
        <v>261</v>
      </c>
      <c r="T37" t="s">
        <v>43</v>
      </c>
      <c r="U37">
        <v>1239136</v>
      </c>
      <c r="V37" t="str">
        <f t="shared" si="5"/>
        <v>10/25/2019</v>
      </c>
      <c r="W37" t="s">
        <v>44</v>
      </c>
      <c r="X37" t="s">
        <v>262</v>
      </c>
    </row>
    <row r="38" spans="1:24" x14ac:dyDescent="0.25">
      <c r="A38" t="s">
        <v>24</v>
      </c>
      <c r="B38" t="s">
        <v>97</v>
      </c>
      <c r="C38" t="s">
        <v>263</v>
      </c>
      <c r="D38" t="s">
        <v>35</v>
      </c>
      <c r="E38" t="s">
        <v>26</v>
      </c>
      <c r="F38" t="s">
        <v>26</v>
      </c>
      <c r="G38" t="s">
        <v>27</v>
      </c>
      <c r="H38" t="s">
        <v>28</v>
      </c>
      <c r="I38" s="3" t="s">
        <v>52</v>
      </c>
      <c r="J38" s="3" t="str">
        <f t="shared" si="4"/>
        <v>2019</v>
      </c>
      <c r="K38" s="3"/>
      <c r="L38" s="3"/>
      <c r="M38" s="3"/>
      <c r="N38" s="3"/>
      <c r="O38" s="2" t="s">
        <v>264</v>
      </c>
      <c r="P38" t="s">
        <v>265</v>
      </c>
      <c r="Q38" t="s">
        <v>102</v>
      </c>
      <c r="R38" t="s">
        <v>103</v>
      </c>
      <c r="S38" t="s">
        <v>266</v>
      </c>
      <c r="T38" t="s">
        <v>43</v>
      </c>
      <c r="U38">
        <v>1239140</v>
      </c>
      <c r="V38" t="str">
        <f t="shared" si="5"/>
        <v>10/25/2019</v>
      </c>
      <c r="W38" t="s">
        <v>44</v>
      </c>
      <c r="X38" t="s">
        <v>267</v>
      </c>
    </row>
    <row r="39" spans="1:24" x14ac:dyDescent="0.25">
      <c r="A39" t="s">
        <v>24</v>
      </c>
      <c r="B39" t="s">
        <v>97</v>
      </c>
      <c r="C39" t="s">
        <v>268</v>
      </c>
      <c r="D39" t="s">
        <v>35</v>
      </c>
      <c r="E39" t="s">
        <v>26</v>
      </c>
      <c r="F39" t="s">
        <v>26</v>
      </c>
      <c r="G39" t="s">
        <v>27</v>
      </c>
      <c r="H39" t="s">
        <v>28</v>
      </c>
      <c r="I39" s="3" t="s">
        <v>52</v>
      </c>
      <c r="J39" s="3" t="str">
        <f t="shared" si="4"/>
        <v>2019</v>
      </c>
      <c r="K39" s="3"/>
      <c r="L39" s="3"/>
      <c r="M39" s="3"/>
      <c r="N39" s="3"/>
      <c r="O39" s="2" t="s">
        <v>269</v>
      </c>
      <c r="P39" t="s">
        <v>270</v>
      </c>
      <c r="Q39" t="s">
        <v>102</v>
      </c>
      <c r="R39" t="s">
        <v>103</v>
      </c>
      <c r="S39" t="s">
        <v>271</v>
      </c>
      <c r="T39" t="s">
        <v>43</v>
      </c>
      <c r="U39">
        <v>1239145</v>
      </c>
      <c r="V39" t="str">
        <f t="shared" si="5"/>
        <v>10/25/2019</v>
      </c>
      <c r="W39" t="s">
        <v>44</v>
      </c>
      <c r="X39" t="s">
        <v>272</v>
      </c>
    </row>
    <row r="40" spans="1:24" x14ac:dyDescent="0.25">
      <c r="A40" t="s">
        <v>24</v>
      </c>
      <c r="B40" t="s">
        <v>97</v>
      </c>
      <c r="C40" t="s">
        <v>273</v>
      </c>
      <c r="D40" t="s">
        <v>35</v>
      </c>
      <c r="E40" t="s">
        <v>26</v>
      </c>
      <c r="F40" t="s">
        <v>26</v>
      </c>
      <c r="G40" t="s">
        <v>27</v>
      </c>
      <c r="H40" t="s">
        <v>28</v>
      </c>
      <c r="I40" s="3" t="s">
        <v>52</v>
      </c>
      <c r="J40" s="3" t="str">
        <f t="shared" ref="J40:J71" si="6">RIGHT(I40,4)</f>
        <v>2019</v>
      </c>
      <c r="K40" s="3"/>
      <c r="L40" s="3"/>
      <c r="M40" s="3"/>
      <c r="N40" s="3"/>
      <c r="O40" s="2" t="s">
        <v>274</v>
      </c>
      <c r="P40" t="s">
        <v>275</v>
      </c>
      <c r="Q40" t="s">
        <v>102</v>
      </c>
      <c r="R40" t="s">
        <v>103</v>
      </c>
      <c r="S40" t="s">
        <v>276</v>
      </c>
      <c r="T40" t="s">
        <v>43</v>
      </c>
      <c r="U40">
        <v>1239147</v>
      </c>
      <c r="V40" t="str">
        <f t="shared" ref="V40:V71" si="7">TEXT(DATEVALUE(LEFT(O40,10)), "mm/dd/yyyy")</f>
        <v>10/25/2019</v>
      </c>
      <c r="W40" t="s">
        <v>44</v>
      </c>
      <c r="X40" t="s">
        <v>277</v>
      </c>
    </row>
    <row r="41" spans="1:24" hidden="1" x14ac:dyDescent="0.25">
      <c r="A41" t="s">
        <v>24</v>
      </c>
      <c r="B41" t="s">
        <v>278</v>
      </c>
      <c r="C41" t="s">
        <v>279</v>
      </c>
      <c r="D41" t="s">
        <v>35</v>
      </c>
      <c r="E41" t="s">
        <v>28</v>
      </c>
      <c r="F41" t="s">
        <v>28</v>
      </c>
      <c r="G41" t="s">
        <v>27</v>
      </c>
      <c r="I41" s="3" t="s">
        <v>36</v>
      </c>
      <c r="J41" s="3" t="str">
        <f t="shared" si="6"/>
        <v>2019</v>
      </c>
      <c r="K41" s="3"/>
      <c r="L41" s="8" t="s">
        <v>281</v>
      </c>
      <c r="M41" s="8" t="s">
        <v>282</v>
      </c>
      <c r="N41" s="3"/>
      <c r="O41" s="2" t="s">
        <v>284</v>
      </c>
      <c r="P41" t="s">
        <v>285</v>
      </c>
      <c r="Q41" t="s">
        <v>286</v>
      </c>
      <c r="R41" t="s">
        <v>287</v>
      </c>
      <c r="S41" t="s">
        <v>288</v>
      </c>
      <c r="T41" t="s">
        <v>43</v>
      </c>
      <c r="U41">
        <v>1013175</v>
      </c>
      <c r="V41" t="str">
        <f t="shared" si="7"/>
        <v>09/26/2019</v>
      </c>
      <c r="W41" t="s">
        <v>44</v>
      </c>
      <c r="X41" t="s">
        <v>289</v>
      </c>
    </row>
    <row r="42" spans="1:24" hidden="1" x14ac:dyDescent="0.25">
      <c r="A42" t="s">
        <v>24</v>
      </c>
      <c r="B42" s="7" t="s">
        <v>278</v>
      </c>
      <c r="C42" s="7" t="s">
        <v>289</v>
      </c>
      <c r="D42" s="7" t="s">
        <v>35</v>
      </c>
      <c r="E42" s="7" t="s">
        <v>28</v>
      </c>
      <c r="F42" s="7" t="s">
        <v>28</v>
      </c>
      <c r="G42" s="7" t="s">
        <v>27</v>
      </c>
      <c r="H42" s="7"/>
      <c r="I42" s="13" t="s">
        <v>36</v>
      </c>
      <c r="J42" s="13" t="str">
        <f t="shared" si="6"/>
        <v>2019</v>
      </c>
      <c r="K42" s="13" t="s">
        <v>37</v>
      </c>
      <c r="L42" s="13" t="s">
        <v>37</v>
      </c>
      <c r="M42" s="13" t="s">
        <v>37</v>
      </c>
      <c r="N42" s="13"/>
      <c r="O42" s="14" t="s">
        <v>291</v>
      </c>
      <c r="P42" s="7" t="s">
        <v>292</v>
      </c>
      <c r="Q42" s="7" t="s">
        <v>286</v>
      </c>
      <c r="R42" s="7" t="s">
        <v>287</v>
      </c>
      <c r="S42" s="7" t="s">
        <v>293</v>
      </c>
      <c r="T42" s="7" t="s">
        <v>43</v>
      </c>
      <c r="U42" s="7">
        <v>1013176</v>
      </c>
      <c r="V42" s="7" t="str">
        <f t="shared" si="7"/>
        <v>09/26/2019</v>
      </c>
      <c r="W42" s="7" t="s">
        <v>44</v>
      </c>
      <c r="X42" s="7"/>
    </row>
    <row r="43" spans="1:24" hidden="1" x14ac:dyDescent="0.25">
      <c r="A43" t="s">
        <v>24</v>
      </c>
      <c r="B43" s="7" t="s">
        <v>278</v>
      </c>
      <c r="C43" s="7" t="s">
        <v>294</v>
      </c>
      <c r="D43" s="7" t="s">
        <v>35</v>
      </c>
      <c r="E43" s="7" t="s">
        <v>28</v>
      </c>
      <c r="F43" s="7" t="s">
        <v>28</v>
      </c>
      <c r="G43" s="7" t="s">
        <v>27</v>
      </c>
      <c r="H43" s="7"/>
      <c r="I43" s="13" t="s">
        <v>36</v>
      </c>
      <c r="J43" s="13" t="str">
        <f t="shared" si="6"/>
        <v>2019</v>
      </c>
      <c r="K43" s="13" t="s">
        <v>37</v>
      </c>
      <c r="L43" s="13" t="s">
        <v>37</v>
      </c>
      <c r="M43" s="13" t="s">
        <v>37</v>
      </c>
      <c r="N43" s="13"/>
      <c r="O43" s="14" t="s">
        <v>295</v>
      </c>
      <c r="P43" s="7" t="s">
        <v>296</v>
      </c>
      <c r="Q43" s="7" t="s">
        <v>286</v>
      </c>
      <c r="R43" s="7" t="s">
        <v>287</v>
      </c>
      <c r="S43" s="7" t="s">
        <v>297</v>
      </c>
      <c r="T43" s="7" t="s">
        <v>43</v>
      </c>
      <c r="U43" s="7">
        <v>1013177</v>
      </c>
      <c r="V43" s="7" t="str">
        <f t="shared" si="7"/>
        <v>09/26/2019</v>
      </c>
      <c r="W43" s="7" t="s">
        <v>44</v>
      </c>
      <c r="X43" s="7"/>
    </row>
    <row r="44" spans="1:24" hidden="1" x14ac:dyDescent="0.25">
      <c r="A44" t="s">
        <v>24</v>
      </c>
      <c r="B44" t="s">
        <v>278</v>
      </c>
      <c r="C44" t="s">
        <v>298</v>
      </c>
      <c r="D44" t="s">
        <v>35</v>
      </c>
      <c r="E44" t="s">
        <v>28</v>
      </c>
      <c r="F44" t="s">
        <v>28</v>
      </c>
      <c r="I44" s="3" t="s">
        <v>36</v>
      </c>
      <c r="J44" s="3" t="str">
        <f t="shared" si="6"/>
        <v>2019</v>
      </c>
      <c r="K44" s="3"/>
      <c r="L44" s="3" t="s">
        <v>37</v>
      </c>
      <c r="M44" s="8" t="s">
        <v>282</v>
      </c>
      <c r="N44" s="3"/>
      <c r="O44" s="2" t="s">
        <v>299</v>
      </c>
      <c r="P44" t="s">
        <v>300</v>
      </c>
      <c r="Q44" t="s">
        <v>286</v>
      </c>
      <c r="R44" t="s">
        <v>287</v>
      </c>
      <c r="S44" t="s">
        <v>301</v>
      </c>
      <c r="T44" t="s">
        <v>43</v>
      </c>
      <c r="U44">
        <v>1013178</v>
      </c>
      <c r="V44" t="str">
        <f t="shared" si="7"/>
        <v>09/26/2019</v>
      </c>
      <c r="W44" t="s">
        <v>44</v>
      </c>
      <c r="X44" t="s">
        <v>302</v>
      </c>
    </row>
    <row r="45" spans="1:24" x14ac:dyDescent="0.25">
      <c r="A45" t="s">
        <v>24</v>
      </c>
      <c r="B45" t="s">
        <v>303</v>
      </c>
      <c r="C45" t="s">
        <v>304</v>
      </c>
      <c r="D45" t="s">
        <v>107</v>
      </c>
      <c r="E45" t="s">
        <v>26</v>
      </c>
      <c r="F45" t="s">
        <v>26</v>
      </c>
      <c r="G45" t="s">
        <v>37</v>
      </c>
      <c r="H45" t="s">
        <v>28</v>
      </c>
      <c r="I45" s="3" t="s">
        <v>36</v>
      </c>
      <c r="J45" s="3" t="str">
        <f t="shared" si="6"/>
        <v>2019</v>
      </c>
      <c r="K45" s="3"/>
      <c r="L45" s="3"/>
      <c r="M45" s="3"/>
      <c r="N45" s="3"/>
      <c r="O45" s="2" t="s">
        <v>305</v>
      </c>
      <c r="P45" t="s">
        <v>306</v>
      </c>
      <c r="Q45" t="s">
        <v>307</v>
      </c>
      <c r="R45" t="s">
        <v>308</v>
      </c>
      <c r="S45" t="s">
        <v>309</v>
      </c>
      <c r="T45" t="s">
        <v>43</v>
      </c>
      <c r="U45">
        <v>162491</v>
      </c>
      <c r="V45" t="str">
        <f t="shared" si="7"/>
        <v>09/26/2019</v>
      </c>
      <c r="W45" t="s">
        <v>44</v>
      </c>
      <c r="X45" t="s">
        <v>51</v>
      </c>
    </row>
    <row r="46" spans="1:24" hidden="1" x14ac:dyDescent="0.25">
      <c r="A46" t="s">
        <v>24</v>
      </c>
      <c r="B46" t="s">
        <v>310</v>
      </c>
      <c r="C46" t="s">
        <v>311</v>
      </c>
      <c r="D46" t="s">
        <v>35</v>
      </c>
      <c r="E46" t="s">
        <v>28</v>
      </c>
      <c r="F46" t="s">
        <v>28</v>
      </c>
      <c r="I46" s="3" t="s">
        <v>36</v>
      </c>
      <c r="J46" s="3" t="str">
        <f t="shared" si="6"/>
        <v>2019</v>
      </c>
      <c r="K46" s="3"/>
      <c r="L46" s="3" t="s">
        <v>37</v>
      </c>
      <c r="M46" s="1" t="s">
        <v>312</v>
      </c>
      <c r="N46" s="3"/>
      <c r="O46" s="2" t="s">
        <v>313</v>
      </c>
      <c r="P46" t="s">
        <v>314</v>
      </c>
      <c r="Q46" t="s">
        <v>315</v>
      </c>
      <c r="R46" t="s">
        <v>316</v>
      </c>
      <c r="S46" t="s">
        <v>317</v>
      </c>
      <c r="T46" t="s">
        <v>43</v>
      </c>
      <c r="U46">
        <v>86637</v>
      </c>
      <c r="V46" t="str">
        <f t="shared" si="7"/>
        <v>09/26/2019</v>
      </c>
      <c r="W46" t="s">
        <v>44</v>
      </c>
      <c r="X46" t="s">
        <v>318</v>
      </c>
    </row>
    <row r="47" spans="1:24" hidden="1" x14ac:dyDescent="0.25">
      <c r="A47" t="s">
        <v>24</v>
      </c>
      <c r="B47" s="7" t="s">
        <v>310</v>
      </c>
      <c r="C47" t="s">
        <v>319</v>
      </c>
      <c r="D47" t="s">
        <v>107</v>
      </c>
      <c r="E47" t="s">
        <v>28</v>
      </c>
      <c r="F47" t="s">
        <v>28</v>
      </c>
      <c r="I47" s="3" t="s">
        <v>36</v>
      </c>
      <c r="J47" s="3" t="str">
        <f t="shared" si="6"/>
        <v>2019</v>
      </c>
      <c r="K47" s="3"/>
      <c r="L47" s="3" t="s">
        <v>37</v>
      </c>
      <c r="M47" s="1" t="s">
        <v>320</v>
      </c>
      <c r="N47" s="3"/>
      <c r="O47" s="2" t="s">
        <v>321</v>
      </c>
      <c r="P47" t="s">
        <v>322</v>
      </c>
      <c r="Q47" t="s">
        <v>315</v>
      </c>
      <c r="R47" t="s">
        <v>316</v>
      </c>
      <c r="S47" t="s">
        <v>323</v>
      </c>
      <c r="T47" t="s">
        <v>43</v>
      </c>
      <c r="U47">
        <v>86635</v>
      </c>
      <c r="V47" t="str">
        <f t="shared" si="7"/>
        <v>09/26/2019</v>
      </c>
      <c r="W47" t="s">
        <v>44</v>
      </c>
    </row>
    <row r="48" spans="1:24" x14ac:dyDescent="0.25">
      <c r="A48" t="s">
        <v>24</v>
      </c>
      <c r="B48" t="s">
        <v>310</v>
      </c>
      <c r="C48" t="s">
        <v>324</v>
      </c>
      <c r="D48" t="s">
        <v>35</v>
      </c>
      <c r="E48" t="s">
        <v>26</v>
      </c>
      <c r="F48" t="s">
        <v>26</v>
      </c>
      <c r="G48" t="s">
        <v>27</v>
      </c>
      <c r="H48" t="s">
        <v>28</v>
      </c>
      <c r="I48" s="3" t="s">
        <v>36</v>
      </c>
      <c r="J48" s="3" t="str">
        <f t="shared" si="6"/>
        <v>2019</v>
      </c>
      <c r="K48" s="3"/>
      <c r="L48" s="3"/>
      <c r="M48" s="3"/>
      <c r="N48" s="3"/>
      <c r="O48" s="2" t="s">
        <v>325</v>
      </c>
      <c r="P48" t="s">
        <v>326</v>
      </c>
      <c r="Q48" t="s">
        <v>315</v>
      </c>
      <c r="R48" t="s">
        <v>316</v>
      </c>
      <c r="S48" t="s">
        <v>327</v>
      </c>
      <c r="T48" t="s">
        <v>43</v>
      </c>
      <c r="U48">
        <v>86636</v>
      </c>
      <c r="V48" t="str">
        <f t="shared" si="7"/>
        <v>09/26/2019</v>
      </c>
      <c r="W48" t="s">
        <v>44</v>
      </c>
      <c r="X48" t="s">
        <v>328</v>
      </c>
    </row>
    <row r="49" spans="1:24" hidden="1" x14ac:dyDescent="0.25">
      <c r="A49" t="s">
        <v>24</v>
      </c>
      <c r="B49" t="s">
        <v>329</v>
      </c>
      <c r="C49" t="s">
        <v>330</v>
      </c>
      <c r="D49" t="s">
        <v>35</v>
      </c>
      <c r="E49" t="s">
        <v>28</v>
      </c>
      <c r="F49" t="s">
        <v>28</v>
      </c>
      <c r="I49" s="3" t="s">
        <v>36</v>
      </c>
      <c r="J49" s="3" t="str">
        <f t="shared" si="6"/>
        <v>2019</v>
      </c>
      <c r="K49" s="3"/>
      <c r="L49" s="3" t="s">
        <v>37</v>
      </c>
      <c r="M49" s="1" t="s">
        <v>312</v>
      </c>
      <c r="N49" s="3"/>
      <c r="O49" s="2" t="s">
        <v>331</v>
      </c>
      <c r="P49" t="s">
        <v>332</v>
      </c>
      <c r="Q49" t="s">
        <v>333</v>
      </c>
      <c r="R49" t="s">
        <v>334</v>
      </c>
      <c r="S49" t="s">
        <v>335</v>
      </c>
      <c r="T49" t="s">
        <v>43</v>
      </c>
      <c r="U49">
        <v>512909</v>
      </c>
      <c r="V49" t="str">
        <f t="shared" si="7"/>
        <v>09/26/2019</v>
      </c>
      <c r="W49" t="s">
        <v>44</v>
      </c>
    </row>
    <row r="50" spans="1:24" hidden="1" x14ac:dyDescent="0.25">
      <c r="A50" t="s">
        <v>24</v>
      </c>
      <c r="B50" s="6" t="s">
        <v>329</v>
      </c>
      <c r="C50" s="6" t="s">
        <v>336</v>
      </c>
      <c r="D50" s="6" t="s">
        <v>35</v>
      </c>
      <c r="E50" s="6" t="s">
        <v>28</v>
      </c>
      <c r="F50" s="6" t="s">
        <v>28</v>
      </c>
      <c r="G50" s="7"/>
      <c r="H50" s="7"/>
      <c r="I50" s="13" t="s">
        <v>36</v>
      </c>
      <c r="J50" s="13" t="str">
        <f t="shared" si="6"/>
        <v>2019</v>
      </c>
      <c r="K50" s="13" t="s">
        <v>37</v>
      </c>
      <c r="L50" s="13" t="s">
        <v>37</v>
      </c>
      <c r="M50" s="10" t="s">
        <v>37</v>
      </c>
      <c r="N50" s="10"/>
      <c r="O50" s="11" t="s">
        <v>337</v>
      </c>
      <c r="P50" s="6" t="s">
        <v>338</v>
      </c>
      <c r="Q50" s="6" t="s">
        <v>333</v>
      </c>
      <c r="R50" s="6" t="s">
        <v>334</v>
      </c>
      <c r="S50" s="6" t="s">
        <v>339</v>
      </c>
      <c r="T50" s="6" t="s">
        <v>43</v>
      </c>
      <c r="U50" s="6">
        <v>512911</v>
      </c>
      <c r="V50" s="6" t="str">
        <f t="shared" si="7"/>
        <v>09/26/2019</v>
      </c>
      <c r="W50" s="6" t="s">
        <v>44</v>
      </c>
      <c r="X50" s="6"/>
    </row>
    <row r="51" spans="1:24" hidden="1" x14ac:dyDescent="0.25">
      <c r="A51" t="s">
        <v>24</v>
      </c>
      <c r="B51" s="6" t="s">
        <v>329</v>
      </c>
      <c r="C51" s="6" t="s">
        <v>340</v>
      </c>
      <c r="D51" s="6" t="s">
        <v>35</v>
      </c>
      <c r="E51" s="6" t="s">
        <v>28</v>
      </c>
      <c r="F51" s="6" t="s">
        <v>28</v>
      </c>
      <c r="G51" s="6"/>
      <c r="H51" s="6"/>
      <c r="I51" s="10" t="s">
        <v>36</v>
      </c>
      <c r="J51" s="10" t="str">
        <f t="shared" si="6"/>
        <v>2019</v>
      </c>
      <c r="K51" s="13" t="s">
        <v>37</v>
      </c>
      <c r="L51" s="13" t="s">
        <v>37</v>
      </c>
      <c r="M51" s="10" t="s">
        <v>37</v>
      </c>
      <c r="N51" s="10"/>
      <c r="O51" s="11" t="s">
        <v>341</v>
      </c>
      <c r="P51" s="6" t="s">
        <v>342</v>
      </c>
      <c r="Q51" s="6" t="s">
        <v>333</v>
      </c>
      <c r="R51" s="6" t="s">
        <v>334</v>
      </c>
      <c r="S51" s="6" t="s">
        <v>343</v>
      </c>
      <c r="T51" s="6" t="s">
        <v>43</v>
      </c>
      <c r="U51" s="6">
        <v>512912</v>
      </c>
      <c r="V51" s="6" t="str">
        <f t="shared" si="7"/>
        <v>09/26/2019</v>
      </c>
      <c r="W51" s="6" t="s">
        <v>44</v>
      </c>
      <c r="X51" s="6"/>
    </row>
    <row r="52" spans="1:24" hidden="1" x14ac:dyDescent="0.25">
      <c r="A52" t="s">
        <v>24</v>
      </c>
      <c r="B52" s="6" t="s">
        <v>329</v>
      </c>
      <c r="C52" s="6" t="s">
        <v>344</v>
      </c>
      <c r="D52" s="6" t="s">
        <v>35</v>
      </c>
      <c r="E52" s="6" t="s">
        <v>28</v>
      </c>
      <c r="F52" s="6" t="s">
        <v>28</v>
      </c>
      <c r="G52" s="6"/>
      <c r="H52" s="6"/>
      <c r="I52" s="10" t="s">
        <v>36</v>
      </c>
      <c r="J52" s="10" t="str">
        <f t="shared" si="6"/>
        <v>2019</v>
      </c>
      <c r="K52" s="13" t="s">
        <v>37</v>
      </c>
      <c r="L52" s="13" t="s">
        <v>37</v>
      </c>
      <c r="M52" s="10" t="s">
        <v>37</v>
      </c>
      <c r="N52" s="10"/>
      <c r="O52" s="11" t="s">
        <v>345</v>
      </c>
      <c r="P52" s="6" t="s">
        <v>346</v>
      </c>
      <c r="Q52" s="6" t="s">
        <v>333</v>
      </c>
      <c r="R52" s="6" t="s">
        <v>334</v>
      </c>
      <c r="S52" s="6" t="s">
        <v>347</v>
      </c>
      <c r="T52" s="6" t="s">
        <v>43</v>
      </c>
      <c r="U52" s="6">
        <v>512913</v>
      </c>
      <c r="V52" s="6" t="str">
        <f t="shared" si="7"/>
        <v>09/26/2019</v>
      </c>
      <c r="W52" s="6" t="s">
        <v>44</v>
      </c>
      <c r="X52" s="6"/>
    </row>
    <row r="53" spans="1:24" x14ac:dyDescent="0.25">
      <c r="A53" t="s">
        <v>24</v>
      </c>
      <c r="B53" t="s">
        <v>329</v>
      </c>
      <c r="C53" t="s">
        <v>348</v>
      </c>
      <c r="D53" t="s">
        <v>35</v>
      </c>
      <c r="E53" t="s">
        <v>26</v>
      </c>
      <c r="F53" t="s">
        <v>26</v>
      </c>
      <c r="G53" t="s">
        <v>27</v>
      </c>
      <c r="H53" t="s">
        <v>28</v>
      </c>
      <c r="I53" s="3" t="s">
        <v>36</v>
      </c>
      <c r="J53" s="3" t="str">
        <f t="shared" si="6"/>
        <v>2019</v>
      </c>
      <c r="K53" s="3"/>
      <c r="L53" s="3"/>
      <c r="M53" s="3"/>
      <c r="N53" s="3"/>
      <c r="O53" s="2" t="s">
        <v>349</v>
      </c>
      <c r="P53" t="s">
        <v>350</v>
      </c>
      <c r="Q53" t="s">
        <v>333</v>
      </c>
      <c r="R53" t="s">
        <v>334</v>
      </c>
      <c r="S53" t="s">
        <v>351</v>
      </c>
      <c r="T53" t="s">
        <v>43</v>
      </c>
      <c r="U53">
        <v>512908</v>
      </c>
      <c r="V53" t="str">
        <f t="shared" si="7"/>
        <v>09/26/2019</v>
      </c>
      <c r="W53" t="s">
        <v>44</v>
      </c>
      <c r="X53" t="s">
        <v>352</v>
      </c>
    </row>
    <row r="54" spans="1:24" x14ac:dyDescent="0.25">
      <c r="A54" t="s">
        <v>24</v>
      </c>
      <c r="B54" t="s">
        <v>329</v>
      </c>
      <c r="C54" t="s">
        <v>353</v>
      </c>
      <c r="D54" t="s">
        <v>35</v>
      </c>
      <c r="E54" t="s">
        <v>26</v>
      </c>
      <c r="F54" t="s">
        <v>26</v>
      </c>
      <c r="G54" t="s">
        <v>27</v>
      </c>
      <c r="H54" t="s">
        <v>28</v>
      </c>
      <c r="I54" s="3" t="s">
        <v>36</v>
      </c>
      <c r="J54" s="3" t="str">
        <f t="shared" si="6"/>
        <v>2019</v>
      </c>
      <c r="K54" s="3"/>
      <c r="L54" s="3"/>
      <c r="M54" s="3"/>
      <c r="N54" s="3"/>
      <c r="O54" s="2" t="s">
        <v>354</v>
      </c>
      <c r="P54" t="s">
        <v>355</v>
      </c>
      <c r="Q54" t="s">
        <v>333</v>
      </c>
      <c r="R54" t="s">
        <v>334</v>
      </c>
      <c r="S54" t="s">
        <v>356</v>
      </c>
      <c r="T54" t="s">
        <v>43</v>
      </c>
      <c r="U54">
        <v>512910</v>
      </c>
      <c r="V54" t="str">
        <f t="shared" si="7"/>
        <v>09/26/2019</v>
      </c>
      <c r="W54" t="s">
        <v>44</v>
      </c>
    </row>
    <row r="55" spans="1:24" x14ac:dyDescent="0.25">
      <c r="A55" t="s">
        <v>24</v>
      </c>
      <c r="B55" t="s">
        <v>329</v>
      </c>
      <c r="C55" t="s">
        <v>357</v>
      </c>
      <c r="D55" t="s">
        <v>35</v>
      </c>
      <c r="E55" t="s">
        <v>26</v>
      </c>
      <c r="F55" t="s">
        <v>26</v>
      </c>
      <c r="G55" t="s">
        <v>27</v>
      </c>
      <c r="H55" t="s">
        <v>28</v>
      </c>
      <c r="I55" s="3" t="s">
        <v>36</v>
      </c>
      <c r="J55" s="3" t="str">
        <f t="shared" si="6"/>
        <v>2019</v>
      </c>
      <c r="K55" s="3"/>
      <c r="L55" s="3"/>
      <c r="M55" s="3"/>
      <c r="N55" s="3"/>
      <c r="O55" s="2" t="s">
        <v>358</v>
      </c>
      <c r="P55" t="s">
        <v>359</v>
      </c>
      <c r="Q55" t="s">
        <v>333</v>
      </c>
      <c r="R55" t="s">
        <v>334</v>
      </c>
      <c r="S55" t="s">
        <v>360</v>
      </c>
      <c r="T55" t="s">
        <v>43</v>
      </c>
      <c r="U55">
        <v>512914</v>
      </c>
      <c r="V55" t="str">
        <f t="shared" si="7"/>
        <v>09/26/2019</v>
      </c>
      <c r="W55" t="s">
        <v>44</v>
      </c>
    </row>
    <row r="56" spans="1:24" x14ac:dyDescent="0.25">
      <c r="A56" t="s">
        <v>24</v>
      </c>
      <c r="B56" t="s">
        <v>329</v>
      </c>
      <c r="C56" t="s">
        <v>361</v>
      </c>
      <c r="D56" t="s">
        <v>35</v>
      </c>
      <c r="E56" t="s">
        <v>26</v>
      </c>
      <c r="F56" t="s">
        <v>26</v>
      </c>
      <c r="G56" t="s">
        <v>27</v>
      </c>
      <c r="H56" t="s">
        <v>28</v>
      </c>
      <c r="I56" s="3" t="s">
        <v>36</v>
      </c>
      <c r="J56" s="3" t="str">
        <f t="shared" si="6"/>
        <v>2019</v>
      </c>
      <c r="K56" s="3"/>
      <c r="L56" s="3"/>
      <c r="M56" s="3"/>
      <c r="N56" s="3"/>
      <c r="O56" s="2" t="s">
        <v>362</v>
      </c>
      <c r="P56" t="s">
        <v>363</v>
      </c>
      <c r="Q56" t="s">
        <v>333</v>
      </c>
      <c r="R56" t="s">
        <v>334</v>
      </c>
      <c r="S56" t="s">
        <v>364</v>
      </c>
      <c r="T56" t="s">
        <v>43</v>
      </c>
      <c r="U56">
        <v>512915</v>
      </c>
      <c r="V56" t="str">
        <f t="shared" si="7"/>
        <v>09/26/2019</v>
      </c>
      <c r="W56" t="s">
        <v>44</v>
      </c>
    </row>
    <row r="57" spans="1:24" x14ac:dyDescent="0.25">
      <c r="A57" t="s">
        <v>24</v>
      </c>
      <c r="B57" t="s">
        <v>365</v>
      </c>
      <c r="C57" t="s">
        <v>366</v>
      </c>
      <c r="D57" t="s">
        <v>107</v>
      </c>
      <c r="E57" t="s">
        <v>26</v>
      </c>
      <c r="F57" t="s">
        <v>26</v>
      </c>
      <c r="G57" t="s">
        <v>27</v>
      </c>
      <c r="H57" t="s">
        <v>28</v>
      </c>
      <c r="I57" s="3" t="s">
        <v>367</v>
      </c>
      <c r="J57" s="3" t="str">
        <f t="shared" si="6"/>
        <v>2024</v>
      </c>
      <c r="K57" s="3" t="s">
        <v>368</v>
      </c>
      <c r="L57" s="3"/>
      <c r="M57" s="3"/>
      <c r="N57" s="3"/>
      <c r="O57" s="2" t="s">
        <v>369</v>
      </c>
      <c r="P57" t="s">
        <v>370</v>
      </c>
      <c r="Q57" t="s">
        <v>371</v>
      </c>
      <c r="R57" t="s">
        <v>372</v>
      </c>
      <c r="S57" t="s">
        <v>373</v>
      </c>
      <c r="T57" t="s">
        <v>43</v>
      </c>
      <c r="U57">
        <v>202</v>
      </c>
      <c r="V57" t="str">
        <f t="shared" si="7"/>
        <v>04/16/2024</v>
      </c>
      <c r="W57" t="s">
        <v>44</v>
      </c>
      <c r="X57" t="s">
        <v>374</v>
      </c>
    </row>
    <row r="58" spans="1:24" x14ac:dyDescent="0.25">
      <c r="A58" t="s">
        <v>24</v>
      </c>
      <c r="B58" t="s">
        <v>365</v>
      </c>
      <c r="C58" t="s">
        <v>375</v>
      </c>
      <c r="D58" t="s">
        <v>107</v>
      </c>
      <c r="E58" t="s">
        <v>26</v>
      </c>
      <c r="F58" t="s">
        <v>26</v>
      </c>
      <c r="G58" t="s">
        <v>27</v>
      </c>
      <c r="H58" t="s">
        <v>28</v>
      </c>
      <c r="I58" s="3" t="s">
        <v>367</v>
      </c>
      <c r="J58" s="3" t="str">
        <f t="shared" si="6"/>
        <v>2024</v>
      </c>
      <c r="K58" s="3" t="s">
        <v>368</v>
      </c>
      <c r="L58" s="3"/>
      <c r="M58" s="3"/>
      <c r="N58" s="3"/>
      <c r="O58" s="2" t="s">
        <v>376</v>
      </c>
      <c r="P58" t="s">
        <v>377</v>
      </c>
      <c r="Q58" t="s">
        <v>371</v>
      </c>
      <c r="R58" t="s">
        <v>372</v>
      </c>
      <c r="S58" t="s">
        <v>378</v>
      </c>
      <c r="T58" t="s">
        <v>43</v>
      </c>
      <c r="U58">
        <v>157</v>
      </c>
      <c r="V58" t="str">
        <f t="shared" si="7"/>
        <v>04/16/2024</v>
      </c>
      <c r="W58" t="s">
        <v>44</v>
      </c>
    </row>
    <row r="59" spans="1:24" x14ac:dyDescent="0.25">
      <c r="A59" t="s">
        <v>24</v>
      </c>
      <c r="B59" t="s">
        <v>365</v>
      </c>
      <c r="C59" t="s">
        <v>379</v>
      </c>
      <c r="D59" t="s">
        <v>107</v>
      </c>
      <c r="E59" t="s">
        <v>26</v>
      </c>
      <c r="F59" t="s">
        <v>26</v>
      </c>
      <c r="G59" t="s">
        <v>27</v>
      </c>
      <c r="H59" t="s">
        <v>28</v>
      </c>
      <c r="I59" s="3" t="s">
        <v>367</v>
      </c>
      <c r="J59" s="3" t="str">
        <f t="shared" si="6"/>
        <v>2024</v>
      </c>
      <c r="K59" s="3" t="s">
        <v>368</v>
      </c>
      <c r="L59" s="3"/>
      <c r="M59" s="3"/>
      <c r="N59" s="3"/>
      <c r="O59" s="2" t="s">
        <v>380</v>
      </c>
      <c r="P59" t="s">
        <v>381</v>
      </c>
      <c r="Q59" t="s">
        <v>371</v>
      </c>
      <c r="R59" t="s">
        <v>372</v>
      </c>
      <c r="S59" t="s">
        <v>382</v>
      </c>
      <c r="T59" t="s">
        <v>43</v>
      </c>
      <c r="U59">
        <v>193</v>
      </c>
      <c r="V59" t="str">
        <f t="shared" si="7"/>
        <v>04/16/2024</v>
      </c>
      <c r="W59" t="s">
        <v>44</v>
      </c>
      <c r="X59" t="s">
        <v>383</v>
      </c>
    </row>
    <row r="60" spans="1:24" x14ac:dyDescent="0.25">
      <c r="A60" t="s">
        <v>24</v>
      </c>
      <c r="B60" t="s">
        <v>365</v>
      </c>
      <c r="C60" t="s">
        <v>384</v>
      </c>
      <c r="D60" t="s">
        <v>107</v>
      </c>
      <c r="E60" t="s">
        <v>26</v>
      </c>
      <c r="F60" t="s">
        <v>26</v>
      </c>
      <c r="G60" t="s">
        <v>27</v>
      </c>
      <c r="H60" t="s">
        <v>28</v>
      </c>
      <c r="I60" s="3" t="s">
        <v>367</v>
      </c>
      <c r="J60" s="3" t="str">
        <f t="shared" si="6"/>
        <v>2024</v>
      </c>
      <c r="K60" s="3" t="s">
        <v>368</v>
      </c>
      <c r="L60" s="3"/>
      <c r="M60" s="3"/>
      <c r="N60" s="3"/>
      <c r="O60" s="2" t="s">
        <v>385</v>
      </c>
      <c r="P60" t="s">
        <v>386</v>
      </c>
      <c r="Q60" t="s">
        <v>371</v>
      </c>
      <c r="R60" t="s">
        <v>372</v>
      </c>
      <c r="S60" t="s">
        <v>387</v>
      </c>
      <c r="T60" t="s">
        <v>43</v>
      </c>
      <c r="U60">
        <v>166</v>
      </c>
      <c r="V60" t="str">
        <f t="shared" si="7"/>
        <v>04/16/2024</v>
      </c>
      <c r="W60" t="s">
        <v>44</v>
      </c>
    </row>
    <row r="61" spans="1:24" x14ac:dyDescent="0.25">
      <c r="A61" t="s">
        <v>24</v>
      </c>
      <c r="B61" t="s">
        <v>365</v>
      </c>
      <c r="C61" t="s">
        <v>388</v>
      </c>
      <c r="D61" t="s">
        <v>107</v>
      </c>
      <c r="E61" t="s">
        <v>26</v>
      </c>
      <c r="F61" t="s">
        <v>26</v>
      </c>
      <c r="G61" t="s">
        <v>27</v>
      </c>
      <c r="H61" t="s">
        <v>28</v>
      </c>
      <c r="I61" s="3" t="s">
        <v>389</v>
      </c>
      <c r="J61" s="3" t="str">
        <f t="shared" si="6"/>
        <v>2023</v>
      </c>
      <c r="K61" s="3" t="s">
        <v>390</v>
      </c>
      <c r="L61" s="3"/>
      <c r="M61" s="3"/>
      <c r="N61" s="3"/>
      <c r="O61" s="2" t="s">
        <v>391</v>
      </c>
      <c r="P61" t="s">
        <v>392</v>
      </c>
      <c r="Q61" t="s">
        <v>371</v>
      </c>
      <c r="R61" t="s">
        <v>372</v>
      </c>
      <c r="S61" t="s">
        <v>393</v>
      </c>
      <c r="T61" t="s">
        <v>43</v>
      </c>
      <c r="U61">
        <v>32</v>
      </c>
      <c r="V61" t="str">
        <f t="shared" si="7"/>
        <v>03/16/2023</v>
      </c>
      <c r="W61" t="s">
        <v>44</v>
      </c>
      <c r="X61" t="s">
        <v>394</v>
      </c>
    </row>
    <row r="62" spans="1:24" x14ac:dyDescent="0.25">
      <c r="A62" t="s">
        <v>24</v>
      </c>
      <c r="B62" t="s">
        <v>365</v>
      </c>
      <c r="C62" t="s">
        <v>395</v>
      </c>
      <c r="D62" t="s">
        <v>107</v>
      </c>
      <c r="E62" t="s">
        <v>26</v>
      </c>
      <c r="F62" t="s">
        <v>26</v>
      </c>
      <c r="G62" t="s">
        <v>27</v>
      </c>
      <c r="H62" t="s">
        <v>28</v>
      </c>
      <c r="I62" s="3" t="s">
        <v>396</v>
      </c>
      <c r="J62" s="3" t="str">
        <f t="shared" si="6"/>
        <v>2023</v>
      </c>
      <c r="K62" s="3" t="s">
        <v>368</v>
      </c>
      <c r="L62" s="3"/>
      <c r="M62" s="3"/>
      <c r="N62" s="3"/>
      <c r="O62" s="2" t="s">
        <v>397</v>
      </c>
      <c r="P62" t="s">
        <v>398</v>
      </c>
      <c r="Q62" t="s">
        <v>371</v>
      </c>
      <c r="R62" t="s">
        <v>372</v>
      </c>
      <c r="S62" t="s">
        <v>399</v>
      </c>
      <c r="T62" t="s">
        <v>43</v>
      </c>
      <c r="U62">
        <v>31</v>
      </c>
      <c r="V62" t="str">
        <f t="shared" si="7"/>
        <v>02/14/2023</v>
      </c>
      <c r="W62" t="s">
        <v>44</v>
      </c>
    </row>
    <row r="63" spans="1:24" x14ac:dyDescent="0.25">
      <c r="A63" t="s">
        <v>24</v>
      </c>
      <c r="B63" t="s">
        <v>365</v>
      </c>
      <c r="C63" t="s">
        <v>400</v>
      </c>
      <c r="D63" t="s">
        <v>107</v>
      </c>
      <c r="E63" t="s">
        <v>26</v>
      </c>
      <c r="F63" t="s">
        <v>26</v>
      </c>
      <c r="G63" t="s">
        <v>27</v>
      </c>
      <c r="H63" t="s">
        <v>28</v>
      </c>
      <c r="I63" s="3" t="s">
        <v>401</v>
      </c>
      <c r="J63" s="3" t="str">
        <f t="shared" si="6"/>
        <v>2021</v>
      </c>
      <c r="K63" s="3" t="s">
        <v>402</v>
      </c>
      <c r="L63" s="3"/>
      <c r="M63" s="3"/>
      <c r="N63" s="3"/>
      <c r="O63" s="2" t="s">
        <v>403</v>
      </c>
      <c r="P63" t="s">
        <v>404</v>
      </c>
      <c r="Q63" t="s">
        <v>371</v>
      </c>
      <c r="R63" t="s">
        <v>372</v>
      </c>
      <c r="S63" t="s">
        <v>405</v>
      </c>
      <c r="T63" t="s">
        <v>43</v>
      </c>
      <c r="U63">
        <v>10</v>
      </c>
      <c r="V63" t="str">
        <f t="shared" si="7"/>
        <v>02/17/2021</v>
      </c>
      <c r="W63" t="s">
        <v>44</v>
      </c>
    </row>
    <row r="64" spans="1:24" x14ac:dyDescent="0.25">
      <c r="A64" t="s">
        <v>24</v>
      </c>
      <c r="B64" t="s">
        <v>365</v>
      </c>
      <c r="C64" t="s">
        <v>406</v>
      </c>
      <c r="D64" t="s">
        <v>107</v>
      </c>
      <c r="E64" t="s">
        <v>26</v>
      </c>
      <c r="F64" t="s">
        <v>28</v>
      </c>
      <c r="I64" s="3" t="s">
        <v>407</v>
      </c>
      <c r="J64" s="3" t="str">
        <f t="shared" si="6"/>
        <v>2025</v>
      </c>
      <c r="K64" s="3" t="s">
        <v>408</v>
      </c>
      <c r="L64" s="8" t="s">
        <v>409</v>
      </c>
      <c r="M64" s="1" t="s">
        <v>410</v>
      </c>
      <c r="N64" s="3"/>
      <c r="O64" s="2" t="s">
        <v>412</v>
      </c>
      <c r="P64" t="s">
        <v>413</v>
      </c>
      <c r="Q64" t="s">
        <v>371</v>
      </c>
      <c r="R64" t="s">
        <v>372</v>
      </c>
      <c r="S64" t="s">
        <v>414</v>
      </c>
      <c r="T64" t="s">
        <v>43</v>
      </c>
      <c r="U64">
        <v>241</v>
      </c>
      <c r="V64" t="str">
        <f t="shared" si="7"/>
        <v>02/12/2025</v>
      </c>
      <c r="W64" t="s">
        <v>44</v>
      </c>
    </row>
    <row r="65" spans="1:24" hidden="1" x14ac:dyDescent="0.25">
      <c r="A65" t="s">
        <v>24</v>
      </c>
      <c r="B65" t="s">
        <v>365</v>
      </c>
      <c r="C65" s="35" t="s">
        <v>415</v>
      </c>
      <c r="D65" t="s">
        <v>107</v>
      </c>
      <c r="E65" t="s">
        <v>28</v>
      </c>
      <c r="F65" t="s">
        <v>28</v>
      </c>
      <c r="I65" s="3" t="s">
        <v>416</v>
      </c>
      <c r="J65" s="3" t="str">
        <f t="shared" si="6"/>
        <v>2025</v>
      </c>
      <c r="K65" s="27" t="s">
        <v>417</v>
      </c>
      <c r="L65" s="8" t="s">
        <v>418</v>
      </c>
      <c r="M65" s="1" t="s">
        <v>419</v>
      </c>
      <c r="N65" s="3"/>
      <c r="O65" s="2" t="s">
        <v>420</v>
      </c>
      <c r="P65" t="s">
        <v>421</v>
      </c>
      <c r="Q65" t="s">
        <v>371</v>
      </c>
      <c r="R65" t="s">
        <v>372</v>
      </c>
      <c r="S65" t="s">
        <v>422</v>
      </c>
      <c r="T65" t="s">
        <v>43</v>
      </c>
      <c r="U65">
        <v>252</v>
      </c>
      <c r="V65" t="str">
        <f t="shared" si="7"/>
        <v>04/10/2025</v>
      </c>
      <c r="W65" t="s">
        <v>44</v>
      </c>
      <c r="X65" t="s">
        <v>423</v>
      </c>
    </row>
    <row r="66" spans="1:24" x14ac:dyDescent="0.25">
      <c r="A66" t="s">
        <v>24</v>
      </c>
      <c r="B66" t="s">
        <v>365</v>
      </c>
      <c r="C66" t="s">
        <v>424</v>
      </c>
      <c r="D66" t="s">
        <v>107</v>
      </c>
      <c r="E66" t="s">
        <v>26</v>
      </c>
      <c r="F66" t="s">
        <v>28</v>
      </c>
      <c r="I66" s="3" t="s">
        <v>425</v>
      </c>
      <c r="J66" s="3" t="str">
        <f t="shared" si="6"/>
        <v>2025</v>
      </c>
      <c r="K66" s="3" t="s">
        <v>408</v>
      </c>
      <c r="L66" s="8" t="s">
        <v>426</v>
      </c>
      <c r="M66" s="1" t="s">
        <v>419</v>
      </c>
      <c r="N66" s="3"/>
      <c r="O66" s="2" t="s">
        <v>427</v>
      </c>
      <c r="P66" t="s">
        <v>428</v>
      </c>
      <c r="Q66" t="s">
        <v>371</v>
      </c>
      <c r="R66" t="s">
        <v>372</v>
      </c>
      <c r="S66" t="s">
        <v>429</v>
      </c>
      <c r="T66" t="s">
        <v>43</v>
      </c>
      <c r="U66">
        <v>243</v>
      </c>
      <c r="V66" t="str">
        <f t="shared" si="7"/>
        <v>02/20/2025</v>
      </c>
      <c r="W66" t="s">
        <v>44</v>
      </c>
      <c r="X66" t="s">
        <v>430</v>
      </c>
    </row>
    <row r="67" spans="1:24" x14ac:dyDescent="0.25">
      <c r="A67" t="s">
        <v>24</v>
      </c>
      <c r="B67" t="s">
        <v>365</v>
      </c>
      <c r="C67" t="s">
        <v>431</v>
      </c>
      <c r="D67" t="s">
        <v>107</v>
      </c>
      <c r="E67" t="s">
        <v>26</v>
      </c>
      <c r="F67" t="s">
        <v>28</v>
      </c>
      <c r="I67" s="3" t="s">
        <v>367</v>
      </c>
      <c r="J67" s="3" t="str">
        <f t="shared" si="6"/>
        <v>2024</v>
      </c>
      <c r="K67" s="3" t="s">
        <v>408</v>
      </c>
      <c r="L67" s="3" t="s">
        <v>37</v>
      </c>
      <c r="M67" s="1" t="s">
        <v>432</v>
      </c>
      <c r="N67" s="3"/>
      <c r="O67" s="2" t="s">
        <v>433</v>
      </c>
      <c r="P67" t="s">
        <v>434</v>
      </c>
      <c r="Q67" t="s">
        <v>371</v>
      </c>
      <c r="R67" t="s">
        <v>372</v>
      </c>
      <c r="S67" t="s">
        <v>435</v>
      </c>
      <c r="T67" t="s">
        <v>43</v>
      </c>
      <c r="U67">
        <v>175</v>
      </c>
      <c r="V67" t="str">
        <f t="shared" si="7"/>
        <v>04/16/2024</v>
      </c>
      <c r="W67" t="s">
        <v>44</v>
      </c>
    </row>
    <row r="68" spans="1:24" x14ac:dyDescent="0.25">
      <c r="A68" t="s">
        <v>24</v>
      </c>
      <c r="B68" t="s">
        <v>365</v>
      </c>
      <c r="C68" t="s">
        <v>436</v>
      </c>
      <c r="D68" t="s">
        <v>107</v>
      </c>
      <c r="E68" t="s">
        <v>26</v>
      </c>
      <c r="F68" t="s">
        <v>28</v>
      </c>
      <c r="I68" s="3" t="s">
        <v>437</v>
      </c>
      <c r="J68" s="3" t="str">
        <f t="shared" si="6"/>
        <v>2024</v>
      </c>
      <c r="K68" s="3" t="s">
        <v>408</v>
      </c>
      <c r="L68" s="3" t="s">
        <v>37</v>
      </c>
      <c r="M68" s="1" t="s">
        <v>438</v>
      </c>
      <c r="N68" s="3"/>
      <c r="O68" s="2" t="s">
        <v>439</v>
      </c>
      <c r="P68" t="s">
        <v>440</v>
      </c>
      <c r="Q68" t="s">
        <v>371</v>
      </c>
      <c r="R68" t="s">
        <v>372</v>
      </c>
      <c r="S68" t="s">
        <v>441</v>
      </c>
      <c r="T68" t="s">
        <v>43</v>
      </c>
      <c r="U68">
        <v>232</v>
      </c>
      <c r="V68" t="str">
        <f t="shared" si="7"/>
        <v>10/22/2024</v>
      </c>
      <c r="W68" t="s">
        <v>44</v>
      </c>
    </row>
    <row r="69" spans="1:24" s="6" customFormat="1" hidden="1" x14ac:dyDescent="0.25">
      <c r="A69" t="s">
        <v>24</v>
      </c>
      <c r="B69" s="6" t="s">
        <v>365</v>
      </c>
      <c r="C69" s="6" t="s">
        <v>442</v>
      </c>
      <c r="D69" s="6" t="s">
        <v>107</v>
      </c>
      <c r="E69" s="6" t="s">
        <v>28</v>
      </c>
      <c r="F69" s="6" t="s">
        <v>28</v>
      </c>
      <c r="G69"/>
      <c r="H69"/>
      <c r="I69" s="3" t="s">
        <v>443</v>
      </c>
      <c r="J69" s="3" t="str">
        <f t="shared" si="6"/>
        <v>2024</v>
      </c>
      <c r="K69" s="10" t="s">
        <v>408</v>
      </c>
      <c r="L69" s="10" t="s">
        <v>37</v>
      </c>
      <c r="M69" s="34" t="s">
        <v>409</v>
      </c>
      <c r="N69" s="10"/>
      <c r="O69" s="11" t="s">
        <v>444</v>
      </c>
      <c r="P69" t="s">
        <v>445</v>
      </c>
      <c r="Q69" t="s">
        <v>371</v>
      </c>
      <c r="R69" t="s">
        <v>372</v>
      </c>
      <c r="S69" t="s">
        <v>446</v>
      </c>
      <c r="T69" t="s">
        <v>43</v>
      </c>
      <c r="U69">
        <v>237</v>
      </c>
      <c r="V69" s="6" t="str">
        <f t="shared" si="7"/>
        <v>11/13/2024</v>
      </c>
      <c r="W69" s="6" t="s">
        <v>44</v>
      </c>
      <c r="X69" s="6" t="s">
        <v>447</v>
      </c>
    </row>
    <row r="70" spans="1:24" x14ac:dyDescent="0.25">
      <c r="A70" t="s">
        <v>24</v>
      </c>
      <c r="B70" t="s">
        <v>365</v>
      </c>
      <c r="C70" t="s">
        <v>448</v>
      </c>
      <c r="D70" t="s">
        <v>107</v>
      </c>
      <c r="E70" t="s">
        <v>26</v>
      </c>
      <c r="F70" t="s">
        <v>28</v>
      </c>
      <c r="I70" s="3" t="s">
        <v>449</v>
      </c>
      <c r="J70" s="3" t="str">
        <f t="shared" si="6"/>
        <v>2024</v>
      </c>
      <c r="K70" s="3" t="s">
        <v>408</v>
      </c>
      <c r="L70" s="8" t="s">
        <v>450</v>
      </c>
      <c r="M70" s="1" t="s">
        <v>432</v>
      </c>
      <c r="N70" s="3"/>
      <c r="O70" s="2" t="s">
        <v>451</v>
      </c>
      <c r="P70" t="s">
        <v>452</v>
      </c>
      <c r="Q70" t="s">
        <v>371</v>
      </c>
      <c r="R70" t="s">
        <v>372</v>
      </c>
      <c r="S70" t="s">
        <v>453</v>
      </c>
      <c r="T70" t="s">
        <v>43</v>
      </c>
      <c r="U70">
        <v>215</v>
      </c>
      <c r="V70" t="str">
        <f t="shared" si="7"/>
        <v>07/30/2024</v>
      </c>
      <c r="W70" t="s">
        <v>44</v>
      </c>
    </row>
    <row r="71" spans="1:24" x14ac:dyDescent="0.25">
      <c r="A71" s="17" t="s">
        <v>24</v>
      </c>
      <c r="B71" t="s">
        <v>365</v>
      </c>
      <c r="C71" t="s">
        <v>454</v>
      </c>
      <c r="D71" t="s">
        <v>107</v>
      </c>
      <c r="E71" t="s">
        <v>26</v>
      </c>
      <c r="F71" t="s">
        <v>28</v>
      </c>
      <c r="I71" s="3" t="s">
        <v>455</v>
      </c>
      <c r="J71" s="3" t="str">
        <f t="shared" si="6"/>
        <v>2024</v>
      </c>
      <c r="K71" s="3" t="s">
        <v>408</v>
      </c>
      <c r="L71" s="3" t="s">
        <v>37</v>
      </c>
      <c r="M71" s="1" t="s">
        <v>432</v>
      </c>
      <c r="N71" s="3"/>
      <c r="O71" s="2" t="s">
        <v>456</v>
      </c>
      <c r="P71" t="s">
        <v>457</v>
      </c>
      <c r="Q71" t="s">
        <v>371</v>
      </c>
      <c r="R71" t="s">
        <v>372</v>
      </c>
      <c r="S71" t="s">
        <v>458</v>
      </c>
      <c r="T71" t="s">
        <v>43</v>
      </c>
      <c r="U71">
        <v>236</v>
      </c>
      <c r="V71" t="str">
        <f t="shared" si="7"/>
        <v>11/12/2024</v>
      </c>
      <c r="W71" t="s">
        <v>44</v>
      </c>
      <c r="X71" t="s">
        <v>459</v>
      </c>
    </row>
    <row r="72" spans="1:24" hidden="1" x14ac:dyDescent="0.25">
      <c r="A72" t="s">
        <v>24</v>
      </c>
      <c r="B72" t="s">
        <v>460</v>
      </c>
      <c r="C72" t="s">
        <v>2330</v>
      </c>
      <c r="D72" t="s">
        <v>107</v>
      </c>
      <c r="E72" t="s">
        <v>28</v>
      </c>
      <c r="F72" t="s">
        <v>28</v>
      </c>
      <c r="I72" s="3" t="s">
        <v>2331</v>
      </c>
      <c r="J72" s="3" t="str">
        <f t="shared" ref="J72:J103" si="8">RIGHT(I72,4)</f>
        <v>2025</v>
      </c>
      <c r="K72" s="3"/>
      <c r="L72" s="8" t="s">
        <v>2332</v>
      </c>
      <c r="M72" s="8" t="s">
        <v>2333</v>
      </c>
      <c r="N72" s="3"/>
      <c r="O72" s="2" t="s">
        <v>2334</v>
      </c>
      <c r="P72" t="s">
        <v>2335</v>
      </c>
      <c r="Q72" t="s">
        <v>467</v>
      </c>
      <c r="R72" t="s">
        <v>468</v>
      </c>
      <c r="S72" t="s">
        <v>2336</v>
      </c>
      <c r="T72" t="s">
        <v>43</v>
      </c>
      <c r="U72">
        <v>614</v>
      </c>
      <c r="V72" t="str">
        <f t="shared" ref="V72:V103" si="9">TEXT(DATEVALUE(LEFT(O72,10)), "mm/dd/yyyy")</f>
        <v>03/17/2025</v>
      </c>
      <c r="W72" t="s">
        <v>44</v>
      </c>
    </row>
    <row r="73" spans="1:24" x14ac:dyDescent="0.25">
      <c r="A73" t="s">
        <v>24</v>
      </c>
      <c r="B73" t="s">
        <v>460</v>
      </c>
      <c r="C73" t="s">
        <v>461</v>
      </c>
      <c r="D73" t="s">
        <v>107</v>
      </c>
      <c r="E73" t="s">
        <v>26</v>
      </c>
      <c r="F73" t="s">
        <v>26</v>
      </c>
      <c r="G73" t="s">
        <v>27</v>
      </c>
      <c r="H73" t="s">
        <v>28</v>
      </c>
      <c r="I73" s="3" t="s">
        <v>462</v>
      </c>
      <c r="J73" s="3" t="str">
        <f t="shared" si="8"/>
        <v>2025</v>
      </c>
      <c r="K73" s="3"/>
      <c r="L73" s="3"/>
      <c r="M73" s="3"/>
      <c r="N73" s="3"/>
      <c r="O73" s="2" t="s">
        <v>465</v>
      </c>
      <c r="P73" t="s">
        <v>466</v>
      </c>
      <c r="Q73" t="s">
        <v>467</v>
      </c>
      <c r="R73" t="s">
        <v>468</v>
      </c>
      <c r="S73" t="s">
        <v>469</v>
      </c>
      <c r="T73" t="s">
        <v>43</v>
      </c>
      <c r="U73">
        <v>601</v>
      </c>
      <c r="V73" t="str">
        <f t="shared" si="9"/>
        <v>03/06/2025</v>
      </c>
      <c r="W73" t="s">
        <v>44</v>
      </c>
    </row>
    <row r="74" spans="1:24" x14ac:dyDescent="0.25">
      <c r="A74" t="s">
        <v>24</v>
      </c>
      <c r="B74" t="s">
        <v>460</v>
      </c>
      <c r="C74" t="s">
        <v>470</v>
      </c>
      <c r="D74" t="s">
        <v>107</v>
      </c>
      <c r="E74" t="s">
        <v>26</v>
      </c>
      <c r="F74" t="s">
        <v>26</v>
      </c>
      <c r="G74" t="s">
        <v>27</v>
      </c>
      <c r="H74" t="s">
        <v>28</v>
      </c>
      <c r="I74" s="3" t="s">
        <v>471</v>
      </c>
      <c r="J74" s="3" t="str">
        <f t="shared" si="8"/>
        <v>2025</v>
      </c>
      <c r="K74" s="3"/>
      <c r="L74" s="3"/>
      <c r="M74" s="3"/>
      <c r="N74" s="3"/>
      <c r="O74" s="2" t="s">
        <v>472</v>
      </c>
      <c r="P74" t="s">
        <v>473</v>
      </c>
      <c r="Q74" t="s">
        <v>467</v>
      </c>
      <c r="R74" t="s">
        <v>468</v>
      </c>
      <c r="S74" t="s">
        <v>474</v>
      </c>
      <c r="T74" t="s">
        <v>43</v>
      </c>
      <c r="U74">
        <v>599</v>
      </c>
      <c r="V74" t="str">
        <f t="shared" si="9"/>
        <v>02/13/2025</v>
      </c>
      <c r="W74" t="s">
        <v>44</v>
      </c>
    </row>
    <row r="75" spans="1:24" x14ac:dyDescent="0.25">
      <c r="A75" t="s">
        <v>24</v>
      </c>
      <c r="B75" t="s">
        <v>460</v>
      </c>
      <c r="C75" t="s">
        <v>475</v>
      </c>
      <c r="D75" t="s">
        <v>107</v>
      </c>
      <c r="E75" t="s">
        <v>26</v>
      </c>
      <c r="F75" t="s">
        <v>26</v>
      </c>
      <c r="G75" t="s">
        <v>27</v>
      </c>
      <c r="H75" t="s">
        <v>28</v>
      </c>
      <c r="I75" s="3" t="s">
        <v>476</v>
      </c>
      <c r="J75" s="3" t="str">
        <f t="shared" si="8"/>
        <v>2024</v>
      </c>
      <c r="K75" s="3"/>
      <c r="L75" s="3"/>
      <c r="M75" s="3"/>
      <c r="N75" s="3"/>
      <c r="O75" s="2" t="s">
        <v>477</v>
      </c>
      <c r="P75" t="s">
        <v>478</v>
      </c>
      <c r="Q75" t="s">
        <v>467</v>
      </c>
      <c r="R75" t="s">
        <v>468</v>
      </c>
      <c r="S75" t="s">
        <v>479</v>
      </c>
      <c r="T75" t="s">
        <v>43</v>
      </c>
      <c r="U75">
        <v>531</v>
      </c>
      <c r="V75" t="str">
        <f t="shared" si="9"/>
        <v>10/28/2024</v>
      </c>
      <c r="W75" t="s">
        <v>44</v>
      </c>
      <c r="X75" t="s">
        <v>480</v>
      </c>
    </row>
    <row r="76" spans="1:24" x14ac:dyDescent="0.25">
      <c r="A76" t="s">
        <v>24</v>
      </c>
      <c r="B76" t="s">
        <v>460</v>
      </c>
      <c r="C76" t="s">
        <v>481</v>
      </c>
      <c r="D76" t="s">
        <v>107</v>
      </c>
      <c r="E76" t="s">
        <v>26</v>
      </c>
      <c r="F76" t="s">
        <v>26</v>
      </c>
      <c r="G76" t="s">
        <v>27</v>
      </c>
      <c r="H76" t="s">
        <v>28</v>
      </c>
      <c r="I76" s="3" t="s">
        <v>482</v>
      </c>
      <c r="J76" s="3" t="str">
        <f t="shared" si="8"/>
        <v>2024</v>
      </c>
      <c r="K76" s="3"/>
      <c r="L76" s="3"/>
      <c r="M76" s="3"/>
      <c r="N76" s="3"/>
      <c r="O76" s="2" t="s">
        <v>483</v>
      </c>
      <c r="P76" t="s">
        <v>484</v>
      </c>
      <c r="Q76" t="s">
        <v>467</v>
      </c>
      <c r="R76" t="s">
        <v>468</v>
      </c>
      <c r="S76" t="s">
        <v>485</v>
      </c>
      <c r="T76" t="s">
        <v>43</v>
      </c>
      <c r="U76">
        <v>562</v>
      </c>
      <c r="V76" t="str">
        <f t="shared" si="9"/>
        <v>11/11/2024</v>
      </c>
      <c r="W76" t="s">
        <v>44</v>
      </c>
      <c r="X76" t="s">
        <v>486</v>
      </c>
    </row>
    <row r="77" spans="1:24" x14ac:dyDescent="0.25">
      <c r="A77" t="s">
        <v>24</v>
      </c>
      <c r="B77" t="s">
        <v>460</v>
      </c>
      <c r="C77" t="s">
        <v>487</v>
      </c>
      <c r="D77" t="s">
        <v>107</v>
      </c>
      <c r="E77" t="s">
        <v>26</v>
      </c>
      <c r="F77" t="s">
        <v>26</v>
      </c>
      <c r="G77" t="s">
        <v>27</v>
      </c>
      <c r="H77" t="s">
        <v>28</v>
      </c>
      <c r="I77" s="3" t="s">
        <v>488</v>
      </c>
      <c r="J77" s="3" t="str">
        <f t="shared" si="8"/>
        <v>2023</v>
      </c>
      <c r="K77" s="3"/>
      <c r="L77" s="3"/>
      <c r="M77" s="3"/>
      <c r="N77" s="3"/>
      <c r="O77" s="2" t="s">
        <v>489</v>
      </c>
      <c r="P77" t="s">
        <v>490</v>
      </c>
      <c r="Q77" t="s">
        <v>467</v>
      </c>
      <c r="R77" t="s">
        <v>468</v>
      </c>
      <c r="S77" t="s">
        <v>491</v>
      </c>
      <c r="T77" t="s">
        <v>43</v>
      </c>
      <c r="U77">
        <v>45</v>
      </c>
      <c r="V77" t="str">
        <f t="shared" si="9"/>
        <v>06/14/2023</v>
      </c>
      <c r="W77" t="s">
        <v>44</v>
      </c>
    </row>
    <row r="78" spans="1:24" x14ac:dyDescent="0.25">
      <c r="A78" t="s">
        <v>24</v>
      </c>
      <c r="B78" t="s">
        <v>460</v>
      </c>
      <c r="C78" t="s">
        <v>492</v>
      </c>
      <c r="D78" t="s">
        <v>107</v>
      </c>
      <c r="E78" t="s">
        <v>26</v>
      </c>
      <c r="F78" t="s">
        <v>26</v>
      </c>
      <c r="G78" t="s">
        <v>27</v>
      </c>
      <c r="H78" t="s">
        <v>28</v>
      </c>
      <c r="I78" s="3" t="s">
        <v>493</v>
      </c>
      <c r="J78" s="3" t="str">
        <f t="shared" si="8"/>
        <v>2023</v>
      </c>
      <c r="K78" s="3"/>
      <c r="L78" s="3"/>
      <c r="M78" s="3"/>
      <c r="N78" s="3"/>
      <c r="O78" s="2" t="s">
        <v>494</v>
      </c>
      <c r="P78" t="s">
        <v>495</v>
      </c>
      <c r="Q78" t="s">
        <v>467</v>
      </c>
      <c r="R78" t="s">
        <v>468</v>
      </c>
      <c r="S78" t="s">
        <v>496</v>
      </c>
      <c r="T78" t="s">
        <v>43</v>
      </c>
      <c r="U78">
        <v>204</v>
      </c>
      <c r="V78" t="str">
        <f t="shared" si="9"/>
        <v>07/19/2023</v>
      </c>
      <c r="W78" t="s">
        <v>44</v>
      </c>
    </row>
    <row r="79" spans="1:24" hidden="1" x14ac:dyDescent="0.25">
      <c r="A79" t="s">
        <v>24</v>
      </c>
      <c r="B79" t="s">
        <v>460</v>
      </c>
      <c r="C79" t="s">
        <v>497</v>
      </c>
      <c r="D79" t="s">
        <v>107</v>
      </c>
      <c r="E79" t="s">
        <v>28</v>
      </c>
      <c r="F79" t="s">
        <v>28</v>
      </c>
      <c r="I79" s="3" t="s">
        <v>498</v>
      </c>
      <c r="J79" s="3" t="str">
        <f t="shared" si="8"/>
        <v>2025</v>
      </c>
      <c r="K79" s="3"/>
      <c r="L79" s="1" t="s">
        <v>499</v>
      </c>
      <c r="M79" s="8" t="s">
        <v>500</v>
      </c>
      <c r="N79" s="3"/>
      <c r="O79" s="2" t="s">
        <v>501</v>
      </c>
      <c r="P79" t="s">
        <v>502</v>
      </c>
      <c r="Q79" t="s">
        <v>467</v>
      </c>
      <c r="R79" t="s">
        <v>468</v>
      </c>
      <c r="S79" t="s">
        <v>503</v>
      </c>
      <c r="T79" t="s">
        <v>43</v>
      </c>
      <c r="U79">
        <v>586</v>
      </c>
      <c r="V79" t="str">
        <f t="shared" si="9"/>
        <v>01/09/2025</v>
      </c>
      <c r="W79" t="s">
        <v>44</v>
      </c>
    </row>
    <row r="80" spans="1:24" hidden="1" x14ac:dyDescent="0.25">
      <c r="A80" t="s">
        <v>24</v>
      </c>
      <c r="B80" t="s">
        <v>460</v>
      </c>
      <c r="C80" t="s">
        <v>504</v>
      </c>
      <c r="D80" t="s">
        <v>107</v>
      </c>
      <c r="E80" t="s">
        <v>28</v>
      </c>
      <c r="F80" t="s">
        <v>28</v>
      </c>
      <c r="I80" s="3" t="s">
        <v>505</v>
      </c>
      <c r="J80" s="3" t="str">
        <f t="shared" si="8"/>
        <v>2025</v>
      </c>
      <c r="K80" s="3"/>
      <c r="L80" s="8" t="s">
        <v>506</v>
      </c>
      <c r="M80" s="3" t="s">
        <v>507</v>
      </c>
      <c r="N80" s="3"/>
      <c r="O80" s="2" t="s">
        <v>508</v>
      </c>
      <c r="P80" t="s">
        <v>509</v>
      </c>
      <c r="Q80" t="s">
        <v>467</v>
      </c>
      <c r="R80" t="s">
        <v>468</v>
      </c>
      <c r="S80" t="s">
        <v>510</v>
      </c>
      <c r="T80" t="s">
        <v>43</v>
      </c>
      <c r="U80">
        <v>588</v>
      </c>
      <c r="V80" t="str">
        <f t="shared" si="9"/>
        <v>01/16/2025</v>
      </c>
      <c r="W80" t="s">
        <v>44</v>
      </c>
    </row>
    <row r="81" spans="1:24" s="9" customFormat="1" hidden="1" x14ac:dyDescent="0.25">
      <c r="A81" t="s">
        <v>24</v>
      </c>
      <c r="B81" t="s">
        <v>460</v>
      </c>
      <c r="C81" t="s">
        <v>424</v>
      </c>
      <c r="D81" t="s">
        <v>107</v>
      </c>
      <c r="E81" t="s">
        <v>28</v>
      </c>
      <c r="F81" t="s">
        <v>28</v>
      </c>
      <c r="G81"/>
      <c r="H81"/>
      <c r="I81" s="3" t="s">
        <v>511</v>
      </c>
      <c r="J81" s="3" t="str">
        <f t="shared" si="8"/>
        <v>2025</v>
      </c>
      <c r="K81" s="3"/>
      <c r="L81" s="8" t="s">
        <v>512</v>
      </c>
      <c r="M81" s="3" t="s">
        <v>513</v>
      </c>
      <c r="N81" s="3"/>
      <c r="O81" s="2" t="s">
        <v>514</v>
      </c>
      <c r="P81" t="s">
        <v>515</v>
      </c>
      <c r="Q81" t="s">
        <v>467</v>
      </c>
      <c r="R81" t="s">
        <v>468</v>
      </c>
      <c r="S81" t="s">
        <v>516</v>
      </c>
      <c r="T81" t="s">
        <v>43</v>
      </c>
      <c r="U81">
        <v>604</v>
      </c>
      <c r="V81" t="str">
        <f t="shared" si="9"/>
        <v>03/11/2025</v>
      </c>
      <c r="W81" t="s">
        <v>44</v>
      </c>
      <c r="X81"/>
    </row>
    <row r="82" spans="1:24" hidden="1" x14ac:dyDescent="0.25">
      <c r="A82" t="s">
        <v>24</v>
      </c>
      <c r="B82" t="s">
        <v>460</v>
      </c>
      <c r="C82" t="s">
        <v>517</v>
      </c>
      <c r="D82" t="s">
        <v>107</v>
      </c>
      <c r="E82" t="s">
        <v>28</v>
      </c>
      <c r="F82" t="s">
        <v>28</v>
      </c>
      <c r="I82" s="3" t="s">
        <v>498</v>
      </c>
      <c r="J82" s="3" t="str">
        <f t="shared" si="8"/>
        <v>2025</v>
      </c>
      <c r="K82" s="3"/>
      <c r="L82" s="8" t="s">
        <v>518</v>
      </c>
      <c r="M82" s="8" t="s">
        <v>499</v>
      </c>
      <c r="N82" s="3"/>
      <c r="O82" s="2" t="s">
        <v>519</v>
      </c>
      <c r="P82" t="s">
        <v>520</v>
      </c>
      <c r="Q82" t="s">
        <v>467</v>
      </c>
      <c r="R82" t="s">
        <v>468</v>
      </c>
      <c r="S82" t="s">
        <v>521</v>
      </c>
      <c r="T82" t="s">
        <v>43</v>
      </c>
      <c r="U82">
        <v>576</v>
      </c>
      <c r="V82" t="str">
        <f t="shared" si="9"/>
        <v>01/09/2025</v>
      </c>
      <c r="W82" t="s">
        <v>44</v>
      </c>
    </row>
    <row r="83" spans="1:24" s="9" customFormat="1" hidden="1" x14ac:dyDescent="0.25">
      <c r="A83" t="s">
        <v>24</v>
      </c>
      <c r="B83" t="s">
        <v>460</v>
      </c>
      <c r="C83" t="s">
        <v>522</v>
      </c>
      <c r="D83" t="s">
        <v>107</v>
      </c>
      <c r="E83" t="s">
        <v>28</v>
      </c>
      <c r="F83" t="s">
        <v>28</v>
      </c>
      <c r="G83"/>
      <c r="H83"/>
      <c r="I83" s="3" t="s">
        <v>523</v>
      </c>
      <c r="J83" s="3" t="str">
        <f t="shared" si="8"/>
        <v>2025</v>
      </c>
      <c r="K83" s="3"/>
      <c r="L83" s="8" t="s">
        <v>524</v>
      </c>
      <c r="M83" s="3" t="s">
        <v>525</v>
      </c>
      <c r="N83" s="3"/>
      <c r="O83" s="2" t="s">
        <v>526</v>
      </c>
      <c r="P83" t="s">
        <v>527</v>
      </c>
      <c r="Q83" t="s">
        <v>467</v>
      </c>
      <c r="R83" t="s">
        <v>468</v>
      </c>
      <c r="S83" t="s">
        <v>528</v>
      </c>
      <c r="T83" t="s">
        <v>43</v>
      </c>
      <c r="U83">
        <v>589</v>
      </c>
      <c r="V83" t="str">
        <f t="shared" si="9"/>
        <v>01/21/2025</v>
      </c>
      <c r="W83" t="s">
        <v>44</v>
      </c>
      <c r="X83"/>
    </row>
    <row r="84" spans="1:24" hidden="1" x14ac:dyDescent="0.25">
      <c r="A84" t="s">
        <v>24</v>
      </c>
      <c r="B84" t="s">
        <v>460</v>
      </c>
      <c r="C84" t="s">
        <v>529</v>
      </c>
      <c r="D84" t="s">
        <v>107</v>
      </c>
      <c r="E84" t="s">
        <v>28</v>
      </c>
      <c r="F84" t="s">
        <v>28</v>
      </c>
      <c r="I84" s="3" t="s">
        <v>530</v>
      </c>
      <c r="J84" s="3" t="str">
        <f t="shared" si="8"/>
        <v>2024</v>
      </c>
      <c r="K84" s="3"/>
      <c r="L84" s="8" t="s">
        <v>531</v>
      </c>
      <c r="M84" s="8" t="s">
        <v>532</v>
      </c>
      <c r="N84" s="3"/>
      <c r="O84" s="2" t="s">
        <v>533</v>
      </c>
      <c r="P84" t="s">
        <v>534</v>
      </c>
      <c r="Q84" t="s">
        <v>467</v>
      </c>
      <c r="R84" t="s">
        <v>468</v>
      </c>
      <c r="S84" t="s">
        <v>535</v>
      </c>
      <c r="T84" t="s">
        <v>43</v>
      </c>
      <c r="U84">
        <v>354</v>
      </c>
      <c r="V84" t="str">
        <f t="shared" si="9"/>
        <v>05/22/2024</v>
      </c>
      <c r="W84" t="s">
        <v>44</v>
      </c>
    </row>
    <row r="85" spans="1:24" hidden="1" x14ac:dyDescent="0.25">
      <c r="A85" t="s">
        <v>24</v>
      </c>
      <c r="B85" t="s">
        <v>460</v>
      </c>
      <c r="C85" t="s">
        <v>536</v>
      </c>
      <c r="D85" t="s">
        <v>107</v>
      </c>
      <c r="E85" t="s">
        <v>28</v>
      </c>
      <c r="F85" t="s">
        <v>28</v>
      </c>
      <c r="I85" s="3" t="s">
        <v>537</v>
      </c>
      <c r="J85" s="3" t="str">
        <f t="shared" si="8"/>
        <v>2024</v>
      </c>
      <c r="K85" s="3"/>
      <c r="L85" s="3" t="s">
        <v>37</v>
      </c>
      <c r="M85" s="15" t="s">
        <v>538</v>
      </c>
      <c r="N85" s="3"/>
      <c r="O85" s="2" t="s">
        <v>539</v>
      </c>
      <c r="P85" t="s">
        <v>540</v>
      </c>
      <c r="Q85" t="s">
        <v>467</v>
      </c>
      <c r="R85" t="s">
        <v>468</v>
      </c>
      <c r="S85" t="s">
        <v>541</v>
      </c>
      <c r="T85" t="s">
        <v>43</v>
      </c>
      <c r="U85">
        <v>461</v>
      </c>
      <c r="V85" t="str">
        <f t="shared" si="9"/>
        <v>08/28/2024</v>
      </c>
      <c r="W85" t="s">
        <v>44</v>
      </c>
    </row>
    <row r="86" spans="1:24" hidden="1" x14ac:dyDescent="0.25">
      <c r="A86" t="s">
        <v>24</v>
      </c>
      <c r="B86" t="s">
        <v>460</v>
      </c>
      <c r="C86" t="s">
        <v>542</v>
      </c>
      <c r="D86" t="s">
        <v>107</v>
      </c>
      <c r="E86" t="s">
        <v>28</v>
      </c>
      <c r="F86" t="s">
        <v>28</v>
      </c>
      <c r="I86" s="3" t="s">
        <v>543</v>
      </c>
      <c r="J86" s="3" t="str">
        <f t="shared" si="8"/>
        <v>2024</v>
      </c>
      <c r="K86" s="3"/>
      <c r="L86" s="8" t="s">
        <v>532</v>
      </c>
      <c r="M86" s="8" t="s">
        <v>544</v>
      </c>
      <c r="N86" s="3"/>
      <c r="O86" s="2" t="s">
        <v>545</v>
      </c>
      <c r="P86" t="s">
        <v>546</v>
      </c>
      <c r="Q86" t="s">
        <v>467</v>
      </c>
      <c r="R86" t="s">
        <v>468</v>
      </c>
      <c r="S86" t="s">
        <v>547</v>
      </c>
      <c r="T86" t="s">
        <v>43</v>
      </c>
      <c r="U86">
        <v>460</v>
      </c>
      <c r="V86" t="str">
        <f t="shared" si="9"/>
        <v>08/26/2024</v>
      </c>
      <c r="W86" t="s">
        <v>44</v>
      </c>
    </row>
    <row r="87" spans="1:24" hidden="1" x14ac:dyDescent="0.25">
      <c r="A87" t="s">
        <v>24</v>
      </c>
      <c r="B87" t="s">
        <v>460</v>
      </c>
      <c r="C87" t="s">
        <v>548</v>
      </c>
      <c r="D87" t="s">
        <v>107</v>
      </c>
      <c r="E87" t="s">
        <v>28</v>
      </c>
      <c r="F87" t="s">
        <v>28</v>
      </c>
      <c r="I87" s="3" t="s">
        <v>549</v>
      </c>
      <c r="J87" s="3" t="str">
        <f t="shared" si="8"/>
        <v>2024</v>
      </c>
      <c r="K87" s="3"/>
      <c r="L87" s="3" t="s">
        <v>37</v>
      </c>
      <c r="M87" s="15" t="s">
        <v>550</v>
      </c>
      <c r="N87" s="3"/>
      <c r="O87" s="2" t="s">
        <v>551</v>
      </c>
      <c r="P87" t="s">
        <v>552</v>
      </c>
      <c r="Q87" t="s">
        <v>467</v>
      </c>
      <c r="R87" t="s">
        <v>468</v>
      </c>
      <c r="S87" t="s">
        <v>553</v>
      </c>
      <c r="T87" t="s">
        <v>43</v>
      </c>
      <c r="U87">
        <v>550</v>
      </c>
      <c r="V87" t="str">
        <f t="shared" si="9"/>
        <v>11/04/2024</v>
      </c>
      <c r="W87" t="s">
        <v>44</v>
      </c>
    </row>
    <row r="88" spans="1:24" hidden="1" x14ac:dyDescent="0.25">
      <c r="A88" t="s">
        <v>24</v>
      </c>
      <c r="B88" t="s">
        <v>460</v>
      </c>
      <c r="C88" t="s">
        <v>554</v>
      </c>
      <c r="D88" t="s">
        <v>107</v>
      </c>
      <c r="E88" t="s">
        <v>28</v>
      </c>
      <c r="F88" t="s">
        <v>28</v>
      </c>
      <c r="I88" s="3" t="s">
        <v>555</v>
      </c>
      <c r="J88" s="3" t="str">
        <f t="shared" si="8"/>
        <v>2024</v>
      </c>
      <c r="K88" s="3"/>
      <c r="L88" s="8" t="s">
        <v>556</v>
      </c>
      <c r="M88" s="8" t="s">
        <v>557</v>
      </c>
      <c r="N88" s="3"/>
      <c r="O88" s="2" t="s">
        <v>558</v>
      </c>
      <c r="P88" t="s">
        <v>559</v>
      </c>
      <c r="Q88" t="s">
        <v>467</v>
      </c>
      <c r="R88" t="s">
        <v>468</v>
      </c>
      <c r="S88" t="s">
        <v>560</v>
      </c>
      <c r="T88" t="s">
        <v>43</v>
      </c>
      <c r="U88">
        <v>414</v>
      </c>
      <c r="V88" t="str">
        <f t="shared" si="9"/>
        <v>07/10/2024</v>
      </c>
      <c r="W88" t="s">
        <v>44</v>
      </c>
    </row>
    <row r="89" spans="1:24" hidden="1" x14ac:dyDescent="0.25">
      <c r="A89" t="s">
        <v>24</v>
      </c>
      <c r="B89" t="s">
        <v>460</v>
      </c>
      <c r="C89" t="s">
        <v>561</v>
      </c>
      <c r="D89" t="s">
        <v>107</v>
      </c>
      <c r="E89" t="s">
        <v>28</v>
      </c>
      <c r="F89" t="s">
        <v>28</v>
      </c>
      <c r="I89" s="3" t="s">
        <v>562</v>
      </c>
      <c r="J89" s="3" t="str">
        <f t="shared" si="8"/>
        <v>2024</v>
      </c>
      <c r="K89" s="3"/>
      <c r="L89" s="3" t="s">
        <v>37</v>
      </c>
      <c r="M89" s="8" t="s">
        <v>563</v>
      </c>
      <c r="N89" s="3"/>
      <c r="O89" s="2" t="s">
        <v>564</v>
      </c>
      <c r="P89" t="s">
        <v>565</v>
      </c>
      <c r="Q89" t="s">
        <v>467</v>
      </c>
      <c r="R89" t="s">
        <v>468</v>
      </c>
      <c r="S89" t="s">
        <v>566</v>
      </c>
      <c r="T89" t="s">
        <v>43</v>
      </c>
      <c r="U89">
        <v>498</v>
      </c>
      <c r="V89" t="str">
        <f t="shared" si="9"/>
        <v>10/09/2024</v>
      </c>
      <c r="W89" t="s">
        <v>44</v>
      </c>
    </row>
    <row r="90" spans="1:24" hidden="1" x14ac:dyDescent="0.25">
      <c r="A90" t="s">
        <v>24</v>
      </c>
      <c r="B90" t="s">
        <v>460</v>
      </c>
      <c r="C90" t="s">
        <v>567</v>
      </c>
      <c r="D90" t="s">
        <v>107</v>
      </c>
      <c r="E90" t="s">
        <v>28</v>
      </c>
      <c r="F90" t="s">
        <v>28</v>
      </c>
      <c r="I90" s="3" t="s">
        <v>568</v>
      </c>
      <c r="J90" s="3" t="str">
        <f t="shared" si="8"/>
        <v>2024</v>
      </c>
      <c r="K90" s="3"/>
      <c r="L90" s="3" t="s">
        <v>37</v>
      </c>
      <c r="M90" s="8" t="s">
        <v>569</v>
      </c>
      <c r="N90" s="3"/>
      <c r="O90" s="2" t="s">
        <v>570</v>
      </c>
      <c r="P90" t="s">
        <v>571</v>
      </c>
      <c r="Q90" t="s">
        <v>467</v>
      </c>
      <c r="R90" t="s">
        <v>468</v>
      </c>
      <c r="S90" t="s">
        <v>572</v>
      </c>
      <c r="T90" t="s">
        <v>43</v>
      </c>
      <c r="U90">
        <v>495</v>
      </c>
      <c r="V90" t="str">
        <f t="shared" si="9"/>
        <v>10/04/2024</v>
      </c>
      <c r="W90" t="s">
        <v>44</v>
      </c>
    </row>
    <row r="91" spans="1:24" hidden="1" x14ac:dyDescent="0.25">
      <c r="A91" t="s">
        <v>24</v>
      </c>
      <c r="B91" t="s">
        <v>460</v>
      </c>
      <c r="C91" t="s">
        <v>573</v>
      </c>
      <c r="D91" t="s">
        <v>107</v>
      </c>
      <c r="E91" t="s">
        <v>28</v>
      </c>
      <c r="F91" t="s">
        <v>28</v>
      </c>
      <c r="I91" s="3" t="s">
        <v>555</v>
      </c>
      <c r="J91" s="3" t="str">
        <f t="shared" si="8"/>
        <v>2024</v>
      </c>
      <c r="K91" s="3"/>
      <c r="L91" s="3" t="s">
        <v>37</v>
      </c>
      <c r="M91" s="8" t="s">
        <v>574</v>
      </c>
      <c r="N91" s="3"/>
      <c r="O91" s="2" t="s">
        <v>575</v>
      </c>
      <c r="P91" t="s">
        <v>576</v>
      </c>
      <c r="Q91" t="s">
        <v>467</v>
      </c>
      <c r="R91" t="s">
        <v>468</v>
      </c>
      <c r="S91" t="s">
        <v>577</v>
      </c>
      <c r="T91" t="s">
        <v>43</v>
      </c>
      <c r="U91">
        <v>415</v>
      </c>
      <c r="V91" t="str">
        <f t="shared" si="9"/>
        <v>07/10/2024</v>
      </c>
      <c r="W91" t="s">
        <v>44</v>
      </c>
    </row>
    <row r="92" spans="1:24" hidden="1" x14ac:dyDescent="0.25">
      <c r="A92" t="s">
        <v>24</v>
      </c>
      <c r="B92" t="s">
        <v>460</v>
      </c>
      <c r="C92" t="s">
        <v>578</v>
      </c>
      <c r="D92" t="s">
        <v>107</v>
      </c>
      <c r="E92" t="s">
        <v>28</v>
      </c>
      <c r="F92" t="s">
        <v>28</v>
      </c>
      <c r="I92" s="3" t="s">
        <v>579</v>
      </c>
      <c r="J92" s="3" t="str">
        <f t="shared" si="8"/>
        <v>2024</v>
      </c>
      <c r="K92" s="3"/>
      <c r="L92" s="8" t="s">
        <v>580</v>
      </c>
      <c r="M92" s="8" t="s">
        <v>581</v>
      </c>
      <c r="N92" s="3"/>
      <c r="O92" s="2" t="s">
        <v>582</v>
      </c>
      <c r="P92" t="s">
        <v>583</v>
      </c>
      <c r="Q92" t="s">
        <v>467</v>
      </c>
      <c r="R92" t="s">
        <v>468</v>
      </c>
      <c r="S92" t="s">
        <v>584</v>
      </c>
      <c r="T92" t="s">
        <v>43</v>
      </c>
      <c r="U92">
        <v>366</v>
      </c>
      <c r="V92" t="str">
        <f t="shared" si="9"/>
        <v>05/27/2024</v>
      </c>
      <c r="W92" t="s">
        <v>44</v>
      </c>
      <c r="X92" t="s">
        <v>585</v>
      </c>
    </row>
    <row r="93" spans="1:24" hidden="1" x14ac:dyDescent="0.25">
      <c r="A93" t="s">
        <v>24</v>
      </c>
      <c r="B93" t="s">
        <v>460</v>
      </c>
      <c r="C93" t="s">
        <v>586</v>
      </c>
      <c r="D93" t="s">
        <v>107</v>
      </c>
      <c r="E93" t="s">
        <v>28</v>
      </c>
      <c r="F93" t="s">
        <v>28</v>
      </c>
      <c r="I93" s="3" t="s">
        <v>587</v>
      </c>
      <c r="J93" s="3" t="str">
        <f t="shared" si="8"/>
        <v>2024</v>
      </c>
      <c r="K93" s="3"/>
      <c r="L93" s="3" t="s">
        <v>37</v>
      </c>
      <c r="M93" s="8" t="s">
        <v>588</v>
      </c>
      <c r="N93" s="3"/>
      <c r="O93" s="2" t="s">
        <v>589</v>
      </c>
      <c r="P93" t="s">
        <v>590</v>
      </c>
      <c r="Q93" t="s">
        <v>467</v>
      </c>
      <c r="R93" t="s">
        <v>468</v>
      </c>
      <c r="S93" t="s">
        <v>591</v>
      </c>
      <c r="T93" t="s">
        <v>43</v>
      </c>
      <c r="U93">
        <v>298</v>
      </c>
      <c r="V93" t="str">
        <f t="shared" si="9"/>
        <v>02/06/2024</v>
      </c>
      <c r="W93" t="s">
        <v>44</v>
      </c>
    </row>
    <row r="94" spans="1:24" hidden="1" x14ac:dyDescent="0.25">
      <c r="A94" t="s">
        <v>24</v>
      </c>
      <c r="B94" t="s">
        <v>460</v>
      </c>
      <c r="C94" t="s">
        <v>592</v>
      </c>
      <c r="D94" t="s">
        <v>107</v>
      </c>
      <c r="E94" t="s">
        <v>28</v>
      </c>
      <c r="F94" t="s">
        <v>28</v>
      </c>
      <c r="I94" s="3" t="s">
        <v>593</v>
      </c>
      <c r="J94" s="3" t="str">
        <f t="shared" si="8"/>
        <v>2024</v>
      </c>
      <c r="K94" s="3"/>
      <c r="L94" s="3" t="s">
        <v>37</v>
      </c>
      <c r="M94" s="8" t="s">
        <v>594</v>
      </c>
      <c r="N94" s="3"/>
      <c r="O94" s="2" t="s">
        <v>595</v>
      </c>
      <c r="P94" t="s">
        <v>596</v>
      </c>
      <c r="Q94" t="s">
        <v>467</v>
      </c>
      <c r="R94" t="s">
        <v>468</v>
      </c>
      <c r="S94" t="s">
        <v>597</v>
      </c>
      <c r="T94" t="s">
        <v>43</v>
      </c>
      <c r="U94">
        <v>299</v>
      </c>
      <c r="V94" t="str">
        <f t="shared" si="9"/>
        <v>02/22/2024</v>
      </c>
      <c r="W94" t="s">
        <v>44</v>
      </c>
    </row>
    <row r="95" spans="1:24" hidden="1" x14ac:dyDescent="0.25">
      <c r="A95" t="s">
        <v>24</v>
      </c>
      <c r="B95" t="s">
        <v>460</v>
      </c>
      <c r="C95" t="s">
        <v>598</v>
      </c>
      <c r="D95" t="s">
        <v>107</v>
      </c>
      <c r="E95" t="s">
        <v>28</v>
      </c>
      <c r="F95" t="s">
        <v>28</v>
      </c>
      <c r="I95" s="3" t="s">
        <v>599</v>
      </c>
      <c r="J95" s="3" t="str">
        <f t="shared" si="8"/>
        <v>2024</v>
      </c>
      <c r="K95" s="3"/>
      <c r="L95" s="3" t="s">
        <v>37</v>
      </c>
      <c r="M95" s="16" t="s">
        <v>600</v>
      </c>
      <c r="N95" s="3"/>
      <c r="O95" s="2" t="s">
        <v>601</v>
      </c>
      <c r="P95" t="s">
        <v>602</v>
      </c>
      <c r="Q95" t="s">
        <v>467</v>
      </c>
      <c r="R95" t="s">
        <v>468</v>
      </c>
      <c r="S95" t="s">
        <v>603</v>
      </c>
      <c r="T95" t="s">
        <v>43</v>
      </c>
      <c r="U95">
        <v>481</v>
      </c>
      <c r="V95" t="str">
        <f t="shared" si="9"/>
        <v>09/19/2024</v>
      </c>
      <c r="W95" t="s">
        <v>44</v>
      </c>
      <c r="X95" t="s">
        <v>604</v>
      </c>
    </row>
    <row r="96" spans="1:24" hidden="1" x14ac:dyDescent="0.25">
      <c r="A96" t="s">
        <v>24</v>
      </c>
      <c r="B96" t="s">
        <v>460</v>
      </c>
      <c r="C96" t="s">
        <v>605</v>
      </c>
      <c r="D96" t="s">
        <v>107</v>
      </c>
      <c r="E96" t="s">
        <v>28</v>
      </c>
      <c r="F96" t="s">
        <v>28</v>
      </c>
      <c r="I96" s="3" t="s">
        <v>606</v>
      </c>
      <c r="J96" s="3" t="str">
        <f t="shared" si="8"/>
        <v>2024</v>
      </c>
      <c r="K96" s="3"/>
      <c r="L96" s="16" t="s">
        <v>580</v>
      </c>
      <c r="M96" s="3" t="s">
        <v>500</v>
      </c>
      <c r="N96" s="3"/>
      <c r="O96" s="2" t="s">
        <v>607</v>
      </c>
      <c r="P96" t="s">
        <v>608</v>
      </c>
      <c r="Q96" t="s">
        <v>467</v>
      </c>
      <c r="R96" t="s">
        <v>468</v>
      </c>
      <c r="S96" t="s">
        <v>609</v>
      </c>
      <c r="T96" t="s">
        <v>43</v>
      </c>
      <c r="U96">
        <v>431</v>
      </c>
      <c r="V96" t="str">
        <f t="shared" si="9"/>
        <v>08/06/2024</v>
      </c>
      <c r="W96" t="s">
        <v>44</v>
      </c>
    </row>
    <row r="97" spans="1:24" x14ac:dyDescent="0.25">
      <c r="A97" t="s">
        <v>24</v>
      </c>
      <c r="B97" t="s">
        <v>460</v>
      </c>
      <c r="C97" t="s">
        <v>610</v>
      </c>
      <c r="D97" t="s">
        <v>107</v>
      </c>
      <c r="E97" t="s">
        <v>26</v>
      </c>
      <c r="F97" t="s">
        <v>26</v>
      </c>
      <c r="I97" s="3" t="s">
        <v>611</v>
      </c>
      <c r="J97" s="3" t="str">
        <f t="shared" si="8"/>
        <v>2024</v>
      </c>
      <c r="K97" s="3"/>
      <c r="M97" s="3" t="s">
        <v>612</v>
      </c>
      <c r="N97" s="3"/>
      <c r="O97" s="2" t="s">
        <v>613</v>
      </c>
      <c r="P97" t="s">
        <v>614</v>
      </c>
      <c r="Q97" t="s">
        <v>467</v>
      </c>
      <c r="R97" t="s">
        <v>468</v>
      </c>
      <c r="S97" t="s">
        <v>615</v>
      </c>
      <c r="T97" t="s">
        <v>43</v>
      </c>
      <c r="U97">
        <v>565</v>
      </c>
      <c r="V97" t="str">
        <f t="shared" si="9"/>
        <v>12/11/2024</v>
      </c>
      <c r="W97" t="s">
        <v>44</v>
      </c>
    </row>
    <row r="98" spans="1:24" hidden="1" x14ac:dyDescent="0.25">
      <c r="A98" t="s">
        <v>24</v>
      </c>
      <c r="B98" t="s">
        <v>460</v>
      </c>
      <c r="C98" t="s">
        <v>616</v>
      </c>
      <c r="D98" t="s">
        <v>107</v>
      </c>
      <c r="E98" t="s">
        <v>28</v>
      </c>
      <c r="F98" t="s">
        <v>28</v>
      </c>
      <c r="I98" s="3" t="s">
        <v>617</v>
      </c>
      <c r="J98" s="3" t="str">
        <f t="shared" si="8"/>
        <v>2024</v>
      </c>
      <c r="K98" s="3"/>
      <c r="L98" s="8" t="s">
        <v>618</v>
      </c>
      <c r="M98" s="8" t="s">
        <v>619</v>
      </c>
      <c r="N98" s="3"/>
      <c r="O98" s="2" t="s">
        <v>620</v>
      </c>
      <c r="P98" t="s">
        <v>621</v>
      </c>
      <c r="Q98" t="s">
        <v>467</v>
      </c>
      <c r="R98" t="s">
        <v>468</v>
      </c>
      <c r="S98" t="s">
        <v>622</v>
      </c>
      <c r="T98" t="s">
        <v>43</v>
      </c>
      <c r="U98">
        <v>513</v>
      </c>
      <c r="V98" t="str">
        <f t="shared" si="9"/>
        <v>10/16/2024</v>
      </c>
      <c r="W98" t="s">
        <v>44</v>
      </c>
    </row>
    <row r="99" spans="1:24" hidden="1" x14ac:dyDescent="0.25">
      <c r="A99" t="s">
        <v>24</v>
      </c>
      <c r="B99" t="s">
        <v>460</v>
      </c>
      <c r="C99" t="s">
        <v>623</v>
      </c>
      <c r="D99" t="s">
        <v>107</v>
      </c>
      <c r="E99" t="s">
        <v>28</v>
      </c>
      <c r="F99" t="s">
        <v>28</v>
      </c>
      <c r="I99" s="3" t="s">
        <v>624</v>
      </c>
      <c r="J99" s="3" t="str">
        <f t="shared" si="8"/>
        <v>2024</v>
      </c>
      <c r="K99" s="3"/>
      <c r="L99" s="3" t="s">
        <v>37</v>
      </c>
      <c r="M99" s="3" t="s">
        <v>619</v>
      </c>
      <c r="N99" s="3"/>
      <c r="O99" s="2" t="s">
        <v>625</v>
      </c>
      <c r="P99" t="s">
        <v>626</v>
      </c>
      <c r="Q99" t="s">
        <v>467</v>
      </c>
      <c r="R99" t="s">
        <v>468</v>
      </c>
      <c r="S99" t="s">
        <v>627</v>
      </c>
      <c r="T99" t="s">
        <v>43</v>
      </c>
      <c r="U99">
        <v>323</v>
      </c>
      <c r="V99" t="str">
        <f t="shared" si="9"/>
        <v>02/27/2024</v>
      </c>
      <c r="W99" t="s">
        <v>44</v>
      </c>
    </row>
    <row r="100" spans="1:24" hidden="1" x14ac:dyDescent="0.25">
      <c r="A100" t="s">
        <v>24</v>
      </c>
      <c r="B100" t="s">
        <v>460</v>
      </c>
      <c r="C100" t="s">
        <v>628</v>
      </c>
      <c r="D100" t="s">
        <v>107</v>
      </c>
      <c r="E100" t="s">
        <v>28</v>
      </c>
      <c r="F100" t="s">
        <v>28</v>
      </c>
      <c r="I100" s="3" t="s">
        <v>629</v>
      </c>
      <c r="J100" s="3" t="str">
        <f t="shared" si="8"/>
        <v>2024</v>
      </c>
      <c r="K100" s="3"/>
      <c r="L100" s="8" t="s">
        <v>618</v>
      </c>
      <c r="M100" s="3" t="s">
        <v>630</v>
      </c>
      <c r="N100" s="3"/>
      <c r="O100" s="2" t="s">
        <v>631</v>
      </c>
      <c r="P100" t="s">
        <v>632</v>
      </c>
      <c r="Q100" t="s">
        <v>467</v>
      </c>
      <c r="R100" t="s">
        <v>468</v>
      </c>
      <c r="S100" t="s">
        <v>633</v>
      </c>
      <c r="T100" t="s">
        <v>43</v>
      </c>
      <c r="U100">
        <v>484</v>
      </c>
      <c r="V100" t="str">
        <f t="shared" si="9"/>
        <v>09/25/2024</v>
      </c>
      <c r="W100" t="s">
        <v>44</v>
      </c>
    </row>
    <row r="101" spans="1:24" hidden="1" x14ac:dyDescent="0.25">
      <c r="A101" t="s">
        <v>24</v>
      </c>
      <c r="B101" t="s">
        <v>460</v>
      </c>
      <c r="C101" t="s">
        <v>634</v>
      </c>
      <c r="D101" t="s">
        <v>107</v>
      </c>
      <c r="E101" t="s">
        <v>28</v>
      </c>
      <c r="F101" t="s">
        <v>28</v>
      </c>
      <c r="I101" s="3" t="s">
        <v>635</v>
      </c>
      <c r="J101" s="3" t="str">
        <f t="shared" si="8"/>
        <v>2024</v>
      </c>
      <c r="K101" s="3"/>
      <c r="L101" s="3" t="s">
        <v>37</v>
      </c>
      <c r="M101" s="3" t="s">
        <v>636</v>
      </c>
      <c r="N101" s="3"/>
      <c r="O101" s="2" t="s">
        <v>637</v>
      </c>
      <c r="P101" t="s">
        <v>638</v>
      </c>
      <c r="Q101" t="s">
        <v>467</v>
      </c>
      <c r="R101" t="s">
        <v>468</v>
      </c>
      <c r="S101" t="s">
        <v>639</v>
      </c>
      <c r="T101" t="s">
        <v>43</v>
      </c>
      <c r="U101">
        <v>349</v>
      </c>
      <c r="V101" t="str">
        <f t="shared" si="9"/>
        <v>04/02/2024</v>
      </c>
      <c r="W101" t="s">
        <v>44</v>
      </c>
    </row>
    <row r="102" spans="1:24" hidden="1" x14ac:dyDescent="0.25">
      <c r="A102" t="s">
        <v>24</v>
      </c>
      <c r="B102" t="s">
        <v>460</v>
      </c>
      <c r="C102" t="s">
        <v>640</v>
      </c>
      <c r="D102" t="s">
        <v>107</v>
      </c>
      <c r="E102" t="s">
        <v>28</v>
      </c>
      <c r="F102" t="s">
        <v>28</v>
      </c>
      <c r="I102" s="3" t="s">
        <v>641</v>
      </c>
      <c r="J102" s="3" t="str">
        <f t="shared" si="8"/>
        <v>2024</v>
      </c>
      <c r="K102" s="3"/>
      <c r="L102" s="3" t="s">
        <v>37</v>
      </c>
      <c r="M102" s="8" t="s">
        <v>642</v>
      </c>
      <c r="N102" s="3"/>
      <c r="O102" s="2" t="s">
        <v>643</v>
      </c>
      <c r="P102" t="s">
        <v>644</v>
      </c>
      <c r="Q102" t="s">
        <v>467</v>
      </c>
      <c r="R102" t="s">
        <v>468</v>
      </c>
      <c r="S102" t="s">
        <v>645</v>
      </c>
      <c r="T102" t="s">
        <v>43</v>
      </c>
      <c r="U102">
        <v>541</v>
      </c>
      <c r="V102" t="str">
        <f t="shared" si="9"/>
        <v>10/29/2024</v>
      </c>
      <c r="W102" t="s">
        <v>44</v>
      </c>
    </row>
    <row r="103" spans="1:24" hidden="1" x14ac:dyDescent="0.25">
      <c r="A103" t="s">
        <v>24</v>
      </c>
      <c r="B103" t="s">
        <v>460</v>
      </c>
      <c r="C103" t="s">
        <v>646</v>
      </c>
      <c r="D103" t="s">
        <v>107</v>
      </c>
      <c r="E103" t="s">
        <v>28</v>
      </c>
      <c r="F103" t="s">
        <v>28</v>
      </c>
      <c r="I103" s="3" t="s">
        <v>647</v>
      </c>
      <c r="J103" s="3" t="str">
        <f t="shared" si="8"/>
        <v>2024</v>
      </c>
      <c r="K103" s="3"/>
      <c r="L103" s="8" t="s">
        <v>618</v>
      </c>
      <c r="M103" s="3" t="s">
        <v>648</v>
      </c>
      <c r="N103" s="3"/>
      <c r="O103" s="2" t="s">
        <v>649</v>
      </c>
      <c r="P103" t="s">
        <v>650</v>
      </c>
      <c r="Q103" t="s">
        <v>467</v>
      </c>
      <c r="R103" t="s">
        <v>468</v>
      </c>
      <c r="S103" t="s">
        <v>651</v>
      </c>
      <c r="T103" t="s">
        <v>43</v>
      </c>
      <c r="U103">
        <v>500</v>
      </c>
      <c r="V103" t="str">
        <f t="shared" si="9"/>
        <v>10/10/2024</v>
      </c>
      <c r="W103" t="s">
        <v>44</v>
      </c>
    </row>
    <row r="104" spans="1:24" hidden="1" x14ac:dyDescent="0.25">
      <c r="A104" t="s">
        <v>24</v>
      </c>
      <c r="B104" t="s">
        <v>460</v>
      </c>
      <c r="C104" t="s">
        <v>652</v>
      </c>
      <c r="D104" t="s">
        <v>107</v>
      </c>
      <c r="E104" t="s">
        <v>28</v>
      </c>
      <c r="F104" t="s">
        <v>28</v>
      </c>
      <c r="I104" s="3" t="s">
        <v>653</v>
      </c>
      <c r="J104" s="3" t="str">
        <f t="shared" ref="J104:J135" si="10">RIGHT(I104,4)</f>
        <v>2024</v>
      </c>
      <c r="K104" s="3"/>
      <c r="L104" s="8" t="s">
        <v>580</v>
      </c>
      <c r="M104" s="8" t="s">
        <v>500</v>
      </c>
      <c r="N104" s="3"/>
      <c r="O104" s="2" t="s">
        <v>654</v>
      </c>
      <c r="P104" t="s">
        <v>655</v>
      </c>
      <c r="Q104" t="s">
        <v>467</v>
      </c>
      <c r="R104" t="s">
        <v>468</v>
      </c>
      <c r="S104" t="s">
        <v>656</v>
      </c>
      <c r="T104" t="s">
        <v>43</v>
      </c>
      <c r="U104">
        <v>483</v>
      </c>
      <c r="V104" t="str">
        <f t="shared" ref="V104:V134" si="11">TEXT(DATEVALUE(LEFT(O104,10)), "mm/dd/yyyy")</f>
        <v>09/23/2024</v>
      </c>
      <c r="W104" t="s">
        <v>44</v>
      </c>
    </row>
    <row r="105" spans="1:24" hidden="1" x14ac:dyDescent="0.25">
      <c r="A105" t="s">
        <v>24</v>
      </c>
      <c r="B105" t="s">
        <v>460</v>
      </c>
      <c r="C105" t="s">
        <v>657</v>
      </c>
      <c r="D105" t="s">
        <v>107</v>
      </c>
      <c r="E105" t="s">
        <v>28</v>
      </c>
      <c r="F105" t="s">
        <v>28</v>
      </c>
      <c r="I105" s="3" t="s">
        <v>658</v>
      </c>
      <c r="J105" s="3" t="str">
        <f t="shared" si="10"/>
        <v>2024</v>
      </c>
      <c r="K105" s="3"/>
      <c r="L105" s="1" t="s">
        <v>659</v>
      </c>
      <c r="M105" s="8" t="s">
        <v>500</v>
      </c>
      <c r="N105" s="3"/>
      <c r="O105" s="2" t="s">
        <v>660</v>
      </c>
      <c r="P105" t="s">
        <v>661</v>
      </c>
      <c r="Q105" t="s">
        <v>467</v>
      </c>
      <c r="R105" t="s">
        <v>468</v>
      </c>
      <c r="S105" t="s">
        <v>662</v>
      </c>
      <c r="T105" t="s">
        <v>43</v>
      </c>
      <c r="U105">
        <v>346</v>
      </c>
      <c r="V105" t="str">
        <f t="shared" si="11"/>
        <v>03/21/2024</v>
      </c>
      <c r="W105" t="s">
        <v>44</v>
      </c>
    </row>
    <row r="106" spans="1:24" hidden="1" x14ac:dyDescent="0.25">
      <c r="A106" t="s">
        <v>24</v>
      </c>
      <c r="B106" t="s">
        <v>460</v>
      </c>
      <c r="C106" t="s">
        <v>663</v>
      </c>
      <c r="D106" t="s">
        <v>107</v>
      </c>
      <c r="E106" t="s">
        <v>28</v>
      </c>
      <c r="F106" t="s">
        <v>28</v>
      </c>
      <c r="I106" s="3" t="s">
        <v>488</v>
      </c>
      <c r="J106" s="3" t="str">
        <f t="shared" si="10"/>
        <v>2023</v>
      </c>
      <c r="K106" s="3"/>
      <c r="L106" s="3" t="s">
        <v>37</v>
      </c>
      <c r="M106" s="1" t="s">
        <v>659</v>
      </c>
      <c r="N106" s="3"/>
      <c r="O106" s="2" t="s">
        <v>664</v>
      </c>
      <c r="P106" t="s">
        <v>665</v>
      </c>
      <c r="Q106" t="s">
        <v>467</v>
      </c>
      <c r="R106" t="s">
        <v>468</v>
      </c>
      <c r="S106" t="s">
        <v>666</v>
      </c>
      <c r="T106" t="s">
        <v>43</v>
      </c>
      <c r="U106">
        <v>68</v>
      </c>
      <c r="V106" t="str">
        <f t="shared" si="11"/>
        <v>06/14/2023</v>
      </c>
      <c r="W106" t="s">
        <v>44</v>
      </c>
    </row>
    <row r="107" spans="1:24" hidden="1" x14ac:dyDescent="0.25">
      <c r="A107" t="s">
        <v>24</v>
      </c>
      <c r="B107" t="s">
        <v>460</v>
      </c>
      <c r="C107" t="s">
        <v>667</v>
      </c>
      <c r="D107" t="s">
        <v>107</v>
      </c>
      <c r="E107" t="s">
        <v>28</v>
      </c>
      <c r="F107" t="s">
        <v>28</v>
      </c>
      <c r="I107" s="3" t="s">
        <v>668</v>
      </c>
      <c r="J107" s="3" t="str">
        <f t="shared" si="10"/>
        <v>2023</v>
      </c>
      <c r="K107" s="3"/>
      <c r="L107" s="8" t="s">
        <v>556</v>
      </c>
      <c r="M107" s="15" t="s">
        <v>669</v>
      </c>
      <c r="N107" s="3"/>
      <c r="O107" s="2" t="s">
        <v>670</v>
      </c>
      <c r="P107" t="s">
        <v>671</v>
      </c>
      <c r="Q107" t="s">
        <v>467</v>
      </c>
      <c r="R107" t="s">
        <v>468</v>
      </c>
      <c r="S107" t="s">
        <v>672</v>
      </c>
      <c r="T107" t="s">
        <v>43</v>
      </c>
      <c r="U107">
        <v>252</v>
      </c>
      <c r="V107" t="str">
        <f t="shared" si="11"/>
        <v>08/29/2023</v>
      </c>
      <c r="W107" t="s">
        <v>44</v>
      </c>
    </row>
    <row r="108" spans="1:24" hidden="1" x14ac:dyDescent="0.25">
      <c r="A108" t="s">
        <v>24</v>
      </c>
      <c r="B108" t="s">
        <v>460</v>
      </c>
      <c r="C108" t="s">
        <v>673</v>
      </c>
      <c r="D108" t="s">
        <v>107</v>
      </c>
      <c r="E108" t="s">
        <v>28</v>
      </c>
      <c r="F108" t="s">
        <v>28</v>
      </c>
      <c r="I108" s="3" t="s">
        <v>668</v>
      </c>
      <c r="J108" s="3" t="str">
        <f t="shared" si="10"/>
        <v>2023</v>
      </c>
      <c r="K108" s="3"/>
      <c r="L108" s="3" t="s">
        <v>37</v>
      </c>
      <c r="M108" s="8" t="s">
        <v>674</v>
      </c>
      <c r="N108" s="3"/>
      <c r="O108" s="2" t="s">
        <v>675</v>
      </c>
      <c r="P108" t="s">
        <v>676</v>
      </c>
      <c r="Q108" t="s">
        <v>467</v>
      </c>
      <c r="R108" t="s">
        <v>468</v>
      </c>
      <c r="S108" t="s">
        <v>677</v>
      </c>
      <c r="T108" t="s">
        <v>43</v>
      </c>
      <c r="U108">
        <v>256</v>
      </c>
      <c r="V108" t="str">
        <f t="shared" si="11"/>
        <v>08/29/2023</v>
      </c>
      <c r="W108" t="s">
        <v>44</v>
      </c>
      <c r="X108" t="s">
        <v>678</v>
      </c>
    </row>
    <row r="109" spans="1:24" hidden="1" x14ac:dyDescent="0.25">
      <c r="A109" t="s">
        <v>24</v>
      </c>
      <c r="B109" t="s">
        <v>679</v>
      </c>
      <c r="C109" t="s">
        <v>680</v>
      </c>
      <c r="D109" t="s">
        <v>35</v>
      </c>
      <c r="E109" t="s">
        <v>28</v>
      </c>
      <c r="F109" t="s">
        <v>28</v>
      </c>
      <c r="G109" t="s">
        <v>27</v>
      </c>
      <c r="H109" t="s">
        <v>280</v>
      </c>
      <c r="I109" s="3" t="s">
        <v>36</v>
      </c>
      <c r="J109" s="3" t="str">
        <f t="shared" si="10"/>
        <v>2019</v>
      </c>
      <c r="K109" s="3"/>
      <c r="L109" s="3" t="s">
        <v>37</v>
      </c>
      <c r="M109" s="8" t="s">
        <v>682</v>
      </c>
      <c r="N109" s="3"/>
      <c r="O109" s="2" t="s">
        <v>684</v>
      </c>
      <c r="P109" t="s">
        <v>685</v>
      </c>
      <c r="Q109" t="s">
        <v>686</v>
      </c>
      <c r="R109" t="s">
        <v>687</v>
      </c>
      <c r="S109" t="s">
        <v>688</v>
      </c>
      <c r="T109" t="s">
        <v>43</v>
      </c>
      <c r="U109">
        <v>1354498</v>
      </c>
      <c r="V109" t="str">
        <f t="shared" si="11"/>
        <v>09/26/2019</v>
      </c>
      <c r="W109" t="s">
        <v>44</v>
      </c>
    </row>
    <row r="110" spans="1:24" hidden="1" x14ac:dyDescent="0.25">
      <c r="A110" t="s">
        <v>24</v>
      </c>
      <c r="B110" s="6" t="s">
        <v>679</v>
      </c>
      <c r="C110" s="6" t="s">
        <v>689</v>
      </c>
      <c r="D110" s="6" t="s">
        <v>35</v>
      </c>
      <c r="E110" s="6" t="s">
        <v>28</v>
      </c>
      <c r="F110" s="6" t="s">
        <v>28</v>
      </c>
      <c r="G110" s="6" t="s">
        <v>27</v>
      </c>
      <c r="H110" s="6" t="s">
        <v>280</v>
      </c>
      <c r="I110" s="10" t="s">
        <v>36</v>
      </c>
      <c r="J110" s="10" t="str">
        <f t="shared" si="10"/>
        <v>2019</v>
      </c>
      <c r="K110" s="13" t="s">
        <v>37</v>
      </c>
      <c r="L110" s="13" t="s">
        <v>37</v>
      </c>
      <c r="M110" s="10" t="s">
        <v>37</v>
      </c>
      <c r="N110" s="10"/>
      <c r="O110" s="11" t="s">
        <v>690</v>
      </c>
      <c r="P110" s="6" t="s">
        <v>691</v>
      </c>
      <c r="Q110" s="6" t="s">
        <v>686</v>
      </c>
      <c r="R110" s="6" t="s">
        <v>687</v>
      </c>
      <c r="S110" s="6" t="s">
        <v>692</v>
      </c>
      <c r="T110" s="6" t="s">
        <v>43</v>
      </c>
      <c r="U110" s="6">
        <v>1354497</v>
      </c>
      <c r="V110" s="6" t="str">
        <f t="shared" si="11"/>
        <v>09/26/2019</v>
      </c>
      <c r="W110" s="6" t="s">
        <v>44</v>
      </c>
      <c r="X110" s="6" t="s">
        <v>693</v>
      </c>
    </row>
    <row r="111" spans="1:24" hidden="1" x14ac:dyDescent="0.25">
      <c r="A111" t="s">
        <v>24</v>
      </c>
      <c r="B111" t="s">
        <v>679</v>
      </c>
      <c r="C111" t="s">
        <v>694</v>
      </c>
      <c r="D111" t="s">
        <v>35</v>
      </c>
      <c r="E111" t="s">
        <v>28</v>
      </c>
      <c r="F111" t="s">
        <v>28</v>
      </c>
      <c r="G111" t="s">
        <v>27</v>
      </c>
      <c r="H111" t="s">
        <v>280</v>
      </c>
      <c r="I111" s="3" t="s">
        <v>36</v>
      </c>
      <c r="J111" s="3" t="str">
        <f t="shared" si="10"/>
        <v>2019</v>
      </c>
      <c r="K111" s="3"/>
      <c r="L111" s="3" t="s">
        <v>37</v>
      </c>
      <c r="M111" s="8" t="s">
        <v>682</v>
      </c>
      <c r="N111" s="3"/>
      <c r="O111" s="2" t="s">
        <v>695</v>
      </c>
      <c r="P111" t="s">
        <v>696</v>
      </c>
      <c r="Q111" t="s">
        <v>686</v>
      </c>
      <c r="R111" t="s">
        <v>687</v>
      </c>
      <c r="S111" t="s">
        <v>697</v>
      </c>
      <c r="T111" t="s">
        <v>43</v>
      </c>
      <c r="U111">
        <v>1354499</v>
      </c>
      <c r="V111" t="str">
        <f t="shared" si="11"/>
        <v>09/26/2019</v>
      </c>
      <c r="W111" t="s">
        <v>44</v>
      </c>
    </row>
    <row r="112" spans="1:24" hidden="1" x14ac:dyDescent="0.25">
      <c r="A112" t="s">
        <v>24</v>
      </c>
      <c r="B112" t="s">
        <v>679</v>
      </c>
      <c r="C112" t="s">
        <v>698</v>
      </c>
      <c r="D112" t="s">
        <v>35</v>
      </c>
      <c r="E112" t="s">
        <v>28</v>
      </c>
      <c r="F112" t="s">
        <v>28</v>
      </c>
      <c r="G112" t="s">
        <v>27</v>
      </c>
      <c r="H112" t="s">
        <v>280</v>
      </c>
      <c r="I112" s="3" t="s">
        <v>36</v>
      </c>
      <c r="J112" s="3" t="str">
        <f t="shared" si="10"/>
        <v>2019</v>
      </c>
      <c r="K112" s="3"/>
      <c r="L112" s="3" t="s">
        <v>37</v>
      </c>
      <c r="M112" s="8" t="s">
        <v>682</v>
      </c>
      <c r="N112" s="3"/>
      <c r="O112" s="2" t="s">
        <v>699</v>
      </c>
      <c r="P112" t="s">
        <v>700</v>
      </c>
      <c r="Q112" t="s">
        <v>686</v>
      </c>
      <c r="R112" t="s">
        <v>687</v>
      </c>
      <c r="S112" t="s">
        <v>701</v>
      </c>
      <c r="T112" t="s">
        <v>43</v>
      </c>
      <c r="U112">
        <v>1354501</v>
      </c>
      <c r="V112" t="str">
        <f t="shared" si="11"/>
        <v>09/26/2019</v>
      </c>
      <c r="W112" t="s">
        <v>44</v>
      </c>
    </row>
    <row r="113" spans="1:24" hidden="1" x14ac:dyDescent="0.25">
      <c r="A113" t="s">
        <v>24</v>
      </c>
      <c r="B113" s="7" t="s">
        <v>679</v>
      </c>
      <c r="C113" s="7" t="s">
        <v>702</v>
      </c>
      <c r="D113" s="7" t="s">
        <v>35</v>
      </c>
      <c r="E113" s="7" t="s">
        <v>28</v>
      </c>
      <c r="F113" s="7" t="s">
        <v>28</v>
      </c>
      <c r="G113" s="7" t="s">
        <v>27</v>
      </c>
      <c r="H113" s="7" t="s">
        <v>280</v>
      </c>
      <c r="I113" s="13" t="s">
        <v>36</v>
      </c>
      <c r="J113" s="13" t="str">
        <f t="shared" si="10"/>
        <v>2019</v>
      </c>
      <c r="K113" s="13" t="s">
        <v>37</v>
      </c>
      <c r="L113" s="13" t="s">
        <v>37</v>
      </c>
      <c r="M113" s="13" t="s">
        <v>37</v>
      </c>
      <c r="N113" s="13"/>
      <c r="O113" s="14" t="s">
        <v>703</v>
      </c>
      <c r="P113" s="7" t="s">
        <v>704</v>
      </c>
      <c r="Q113" s="7" t="s">
        <v>686</v>
      </c>
      <c r="R113" s="7" t="s">
        <v>687</v>
      </c>
      <c r="S113" s="7" t="s">
        <v>705</v>
      </c>
      <c r="T113" s="7" t="s">
        <v>43</v>
      </c>
      <c r="U113" s="7">
        <v>1354500</v>
      </c>
      <c r="V113" s="7" t="str">
        <f t="shared" si="11"/>
        <v>09/26/2019</v>
      </c>
      <c r="W113" s="7" t="s">
        <v>44</v>
      </c>
      <c r="X113" s="7" t="s">
        <v>706</v>
      </c>
    </row>
    <row r="114" spans="1:24" hidden="1" x14ac:dyDescent="0.25">
      <c r="A114" t="s">
        <v>24</v>
      </c>
      <c r="B114" t="s">
        <v>679</v>
      </c>
      <c r="C114" t="s">
        <v>707</v>
      </c>
      <c r="D114" t="s">
        <v>35</v>
      </c>
      <c r="E114" t="s">
        <v>28</v>
      </c>
      <c r="F114" t="s">
        <v>28</v>
      </c>
      <c r="G114" t="s">
        <v>27</v>
      </c>
      <c r="H114" t="s">
        <v>280</v>
      </c>
      <c r="I114" s="3" t="s">
        <v>36</v>
      </c>
      <c r="J114" s="3" t="str">
        <f t="shared" si="10"/>
        <v>2019</v>
      </c>
      <c r="K114" s="3"/>
      <c r="L114" s="3" t="s">
        <v>37</v>
      </c>
      <c r="M114" s="8" t="s">
        <v>682</v>
      </c>
      <c r="N114" s="3"/>
      <c r="O114" s="2" t="s">
        <v>708</v>
      </c>
      <c r="P114" t="s">
        <v>709</v>
      </c>
      <c r="Q114" t="s">
        <v>686</v>
      </c>
      <c r="R114" t="s">
        <v>687</v>
      </c>
      <c r="S114" t="s">
        <v>710</v>
      </c>
      <c r="T114" t="s">
        <v>43</v>
      </c>
      <c r="U114">
        <v>1354502</v>
      </c>
      <c r="V114" t="str">
        <f t="shared" si="11"/>
        <v>09/26/2019</v>
      </c>
      <c r="W114" t="s">
        <v>44</v>
      </c>
    </row>
    <row r="115" spans="1:24" hidden="1" x14ac:dyDescent="0.25">
      <c r="A115" t="s">
        <v>24</v>
      </c>
      <c r="B115" t="s">
        <v>679</v>
      </c>
      <c r="C115" t="s">
        <v>711</v>
      </c>
      <c r="D115" t="s">
        <v>35</v>
      </c>
      <c r="E115" t="s">
        <v>28</v>
      </c>
      <c r="F115" t="s">
        <v>28</v>
      </c>
      <c r="G115" t="s">
        <v>27</v>
      </c>
      <c r="H115" t="s">
        <v>280</v>
      </c>
      <c r="I115" s="3" t="s">
        <v>36</v>
      </c>
      <c r="J115" s="3" t="str">
        <f t="shared" si="10"/>
        <v>2019</v>
      </c>
      <c r="K115" s="3"/>
      <c r="L115" s="3" t="s">
        <v>37</v>
      </c>
      <c r="M115" s="8" t="s">
        <v>682</v>
      </c>
      <c r="N115" s="3"/>
      <c r="O115" s="2" t="s">
        <v>712</v>
      </c>
      <c r="P115" t="s">
        <v>713</v>
      </c>
      <c r="Q115" t="s">
        <v>686</v>
      </c>
      <c r="R115" t="s">
        <v>687</v>
      </c>
      <c r="S115" t="s">
        <v>714</v>
      </c>
      <c r="T115" t="s">
        <v>43</v>
      </c>
      <c r="U115">
        <v>1354503</v>
      </c>
      <c r="V115" t="str">
        <f t="shared" si="11"/>
        <v>09/26/2019</v>
      </c>
      <c r="W115" t="s">
        <v>44</v>
      </c>
      <c r="X115" t="s">
        <v>715</v>
      </c>
    </row>
    <row r="116" spans="1:24" hidden="1" x14ac:dyDescent="0.25">
      <c r="A116" t="s">
        <v>24</v>
      </c>
      <c r="B116" t="s">
        <v>679</v>
      </c>
      <c r="C116" t="s">
        <v>716</v>
      </c>
      <c r="D116" t="s">
        <v>35</v>
      </c>
      <c r="E116" t="s">
        <v>28</v>
      </c>
      <c r="F116" t="s">
        <v>28</v>
      </c>
      <c r="G116" t="s">
        <v>27</v>
      </c>
      <c r="H116" t="s">
        <v>280</v>
      </c>
      <c r="I116" s="3" t="s">
        <v>36</v>
      </c>
      <c r="J116" s="3" t="str">
        <f t="shared" si="10"/>
        <v>2019</v>
      </c>
      <c r="K116" s="3"/>
      <c r="L116" s="3" t="s">
        <v>37</v>
      </c>
      <c r="M116" s="8" t="s">
        <v>682</v>
      </c>
      <c r="N116" s="3"/>
      <c r="O116" s="2" t="s">
        <v>717</v>
      </c>
      <c r="P116" t="s">
        <v>718</v>
      </c>
      <c r="Q116" t="s">
        <v>686</v>
      </c>
      <c r="R116" t="s">
        <v>687</v>
      </c>
      <c r="S116" t="s">
        <v>719</v>
      </c>
      <c r="T116" t="s">
        <v>43</v>
      </c>
      <c r="U116">
        <v>1354504</v>
      </c>
      <c r="V116" t="str">
        <f t="shared" si="11"/>
        <v>09/26/2019</v>
      </c>
      <c r="W116" t="s">
        <v>44</v>
      </c>
      <c r="X116" t="s">
        <v>720</v>
      </c>
    </row>
    <row r="117" spans="1:24" hidden="1" x14ac:dyDescent="0.25">
      <c r="A117" t="s">
        <v>24</v>
      </c>
      <c r="B117" t="s">
        <v>679</v>
      </c>
      <c r="C117" t="s">
        <v>721</v>
      </c>
      <c r="D117" t="s">
        <v>35</v>
      </c>
      <c r="E117" t="s">
        <v>28</v>
      </c>
      <c r="F117" t="s">
        <v>28</v>
      </c>
      <c r="G117" t="s">
        <v>27</v>
      </c>
      <c r="H117" t="s">
        <v>280</v>
      </c>
      <c r="I117" s="3" t="s">
        <v>36</v>
      </c>
      <c r="J117" s="3" t="str">
        <f t="shared" si="10"/>
        <v>2019</v>
      </c>
      <c r="K117" s="3"/>
      <c r="L117" s="3" t="s">
        <v>37</v>
      </c>
      <c r="M117" s="8" t="s">
        <v>682</v>
      </c>
      <c r="N117" s="3"/>
      <c r="O117" s="2" t="s">
        <v>722</v>
      </c>
      <c r="P117" t="s">
        <v>723</v>
      </c>
      <c r="Q117" t="s">
        <v>686</v>
      </c>
      <c r="R117" t="s">
        <v>687</v>
      </c>
      <c r="S117" t="s">
        <v>724</v>
      </c>
      <c r="T117" t="s">
        <v>43</v>
      </c>
      <c r="U117">
        <v>1354505</v>
      </c>
      <c r="V117" t="str">
        <f t="shared" si="11"/>
        <v>09/26/2019</v>
      </c>
      <c r="W117" t="s">
        <v>44</v>
      </c>
    </row>
    <row r="118" spans="1:24" hidden="1" x14ac:dyDescent="0.25">
      <c r="A118" t="s">
        <v>24</v>
      </c>
      <c r="B118" t="s">
        <v>679</v>
      </c>
      <c r="C118" t="s">
        <v>725</v>
      </c>
      <c r="D118" t="s">
        <v>35</v>
      </c>
      <c r="E118" t="s">
        <v>28</v>
      </c>
      <c r="F118" t="s">
        <v>28</v>
      </c>
      <c r="G118" t="s">
        <v>27</v>
      </c>
      <c r="H118" t="s">
        <v>280</v>
      </c>
      <c r="I118" s="3" t="s">
        <v>36</v>
      </c>
      <c r="J118" s="3" t="str">
        <f t="shared" si="10"/>
        <v>2019</v>
      </c>
      <c r="K118" s="3"/>
      <c r="L118" s="3" t="s">
        <v>37</v>
      </c>
      <c r="M118" s="8" t="s">
        <v>682</v>
      </c>
      <c r="N118" s="3"/>
      <c r="O118" s="2" t="s">
        <v>726</v>
      </c>
      <c r="P118" t="s">
        <v>727</v>
      </c>
      <c r="Q118" t="s">
        <v>686</v>
      </c>
      <c r="R118" t="s">
        <v>687</v>
      </c>
      <c r="S118" t="s">
        <v>728</v>
      </c>
      <c r="T118" t="s">
        <v>43</v>
      </c>
      <c r="U118">
        <v>1354506</v>
      </c>
      <c r="V118" t="str">
        <f t="shared" si="11"/>
        <v>09/26/2019</v>
      </c>
      <c r="W118" t="s">
        <v>44</v>
      </c>
    </row>
    <row r="119" spans="1:24" hidden="1" x14ac:dyDescent="0.25">
      <c r="A119" t="s">
        <v>24</v>
      </c>
      <c r="B119" t="s">
        <v>679</v>
      </c>
      <c r="C119" t="s">
        <v>729</v>
      </c>
      <c r="D119" t="s">
        <v>35</v>
      </c>
      <c r="E119" t="s">
        <v>28</v>
      </c>
      <c r="F119" t="s">
        <v>28</v>
      </c>
      <c r="G119" t="s">
        <v>27</v>
      </c>
      <c r="H119" t="s">
        <v>280</v>
      </c>
      <c r="I119" s="3" t="s">
        <v>36</v>
      </c>
      <c r="J119" s="3" t="str">
        <f t="shared" si="10"/>
        <v>2019</v>
      </c>
      <c r="K119" s="3"/>
      <c r="L119" s="3" t="s">
        <v>37</v>
      </c>
      <c r="M119" s="8" t="s">
        <v>682</v>
      </c>
      <c r="N119" s="3"/>
      <c r="O119" s="2" t="s">
        <v>730</v>
      </c>
      <c r="P119" t="s">
        <v>731</v>
      </c>
      <c r="Q119" t="s">
        <v>686</v>
      </c>
      <c r="R119" t="s">
        <v>687</v>
      </c>
      <c r="S119" t="s">
        <v>732</v>
      </c>
      <c r="T119" t="s">
        <v>43</v>
      </c>
      <c r="U119">
        <v>1354507</v>
      </c>
      <c r="V119" t="str">
        <f t="shared" si="11"/>
        <v>09/26/2019</v>
      </c>
      <c r="W119" t="s">
        <v>44</v>
      </c>
    </row>
    <row r="120" spans="1:24" hidden="1" x14ac:dyDescent="0.25">
      <c r="A120" t="s">
        <v>24</v>
      </c>
      <c r="B120" t="s">
        <v>679</v>
      </c>
      <c r="C120" t="s">
        <v>733</v>
      </c>
      <c r="D120" t="s">
        <v>35</v>
      </c>
      <c r="E120" t="s">
        <v>28</v>
      </c>
      <c r="F120" t="s">
        <v>28</v>
      </c>
      <c r="G120" t="s">
        <v>27</v>
      </c>
      <c r="H120" t="s">
        <v>280</v>
      </c>
      <c r="I120" s="3" t="s">
        <v>36</v>
      </c>
      <c r="J120" s="3" t="str">
        <f t="shared" si="10"/>
        <v>2019</v>
      </c>
      <c r="K120" s="3"/>
      <c r="L120" s="3" t="s">
        <v>37</v>
      </c>
      <c r="M120" s="3" t="s">
        <v>734</v>
      </c>
      <c r="N120" s="3"/>
      <c r="O120" s="2" t="s">
        <v>735</v>
      </c>
      <c r="P120" t="s">
        <v>736</v>
      </c>
      <c r="Q120" t="s">
        <v>686</v>
      </c>
      <c r="R120" t="s">
        <v>687</v>
      </c>
      <c r="S120" t="s">
        <v>737</v>
      </c>
      <c r="T120" t="s">
        <v>43</v>
      </c>
      <c r="U120">
        <v>1354508</v>
      </c>
      <c r="V120" t="str">
        <f t="shared" si="11"/>
        <v>09/26/2019</v>
      </c>
      <c r="W120" t="s">
        <v>44</v>
      </c>
      <c r="X120" t="s">
        <v>738</v>
      </c>
    </row>
    <row r="121" spans="1:24" hidden="1" x14ac:dyDescent="0.25">
      <c r="A121" t="s">
        <v>24</v>
      </c>
      <c r="B121" t="s">
        <v>679</v>
      </c>
      <c r="C121" t="s">
        <v>739</v>
      </c>
      <c r="D121" t="s">
        <v>35</v>
      </c>
      <c r="E121" t="s">
        <v>28</v>
      </c>
      <c r="F121" t="s">
        <v>28</v>
      </c>
      <c r="G121" t="s">
        <v>27</v>
      </c>
      <c r="H121" t="s">
        <v>280</v>
      </c>
      <c r="I121" s="3" t="s">
        <v>36</v>
      </c>
      <c r="J121" s="3" t="str">
        <f t="shared" si="10"/>
        <v>2019</v>
      </c>
      <c r="K121" s="3"/>
      <c r="L121" s="3" t="s">
        <v>37</v>
      </c>
      <c r="M121" s="8" t="s">
        <v>682</v>
      </c>
      <c r="N121" s="3"/>
      <c r="O121" s="2" t="s">
        <v>740</v>
      </c>
      <c r="P121" t="s">
        <v>741</v>
      </c>
      <c r="Q121" t="s">
        <v>686</v>
      </c>
      <c r="R121" t="s">
        <v>687</v>
      </c>
      <c r="S121" t="s">
        <v>742</v>
      </c>
      <c r="T121" t="s">
        <v>43</v>
      </c>
      <c r="U121">
        <v>1354509</v>
      </c>
      <c r="V121" t="str">
        <f t="shared" si="11"/>
        <v>09/26/2019</v>
      </c>
      <c r="W121" t="s">
        <v>44</v>
      </c>
    </row>
    <row r="122" spans="1:24" hidden="1" x14ac:dyDescent="0.25">
      <c r="A122" t="s">
        <v>24</v>
      </c>
      <c r="B122" t="s">
        <v>679</v>
      </c>
      <c r="C122" t="s">
        <v>743</v>
      </c>
      <c r="D122" t="s">
        <v>35</v>
      </c>
      <c r="E122" t="s">
        <v>28</v>
      </c>
      <c r="F122" t="s">
        <v>28</v>
      </c>
      <c r="G122" t="s">
        <v>27</v>
      </c>
      <c r="H122" t="s">
        <v>280</v>
      </c>
      <c r="I122" s="3" t="s">
        <v>36</v>
      </c>
      <c r="J122" s="3" t="str">
        <f t="shared" si="10"/>
        <v>2019</v>
      </c>
      <c r="K122" s="3"/>
      <c r="L122" s="3" t="s">
        <v>37</v>
      </c>
      <c r="M122" s="8" t="s">
        <v>682</v>
      </c>
      <c r="N122" s="3"/>
      <c r="O122" s="2" t="s">
        <v>744</v>
      </c>
      <c r="P122" t="s">
        <v>745</v>
      </c>
      <c r="Q122" t="s">
        <v>686</v>
      </c>
      <c r="R122" t="s">
        <v>687</v>
      </c>
      <c r="S122" t="s">
        <v>746</v>
      </c>
      <c r="T122" t="s">
        <v>43</v>
      </c>
      <c r="U122">
        <v>1354510</v>
      </c>
      <c r="V122" t="str">
        <f t="shared" si="11"/>
        <v>09/26/2019</v>
      </c>
      <c r="W122" t="s">
        <v>44</v>
      </c>
      <c r="X122" t="s">
        <v>747</v>
      </c>
    </row>
    <row r="123" spans="1:24" hidden="1" x14ac:dyDescent="0.25">
      <c r="A123" t="s">
        <v>24</v>
      </c>
      <c r="B123" t="s">
        <v>679</v>
      </c>
      <c r="C123" t="s">
        <v>748</v>
      </c>
      <c r="D123" t="s">
        <v>35</v>
      </c>
      <c r="E123" t="s">
        <v>28</v>
      </c>
      <c r="F123" t="s">
        <v>28</v>
      </c>
      <c r="G123" t="s">
        <v>27</v>
      </c>
      <c r="H123" t="s">
        <v>280</v>
      </c>
      <c r="I123" s="3" t="s">
        <v>36</v>
      </c>
      <c r="J123" s="3" t="str">
        <f t="shared" si="10"/>
        <v>2019</v>
      </c>
      <c r="K123" s="3"/>
      <c r="L123" s="3" t="s">
        <v>37</v>
      </c>
      <c r="M123" s="8" t="s">
        <v>682</v>
      </c>
      <c r="N123" s="3"/>
      <c r="O123" s="2" t="s">
        <v>749</v>
      </c>
      <c r="P123" t="s">
        <v>750</v>
      </c>
      <c r="Q123" t="s">
        <v>686</v>
      </c>
      <c r="R123" t="s">
        <v>687</v>
      </c>
      <c r="S123" t="s">
        <v>751</v>
      </c>
      <c r="T123" t="s">
        <v>43</v>
      </c>
      <c r="U123">
        <v>1354511</v>
      </c>
      <c r="V123" t="str">
        <f t="shared" si="11"/>
        <v>09/26/2019</v>
      </c>
      <c r="W123" t="s">
        <v>44</v>
      </c>
      <c r="X123" t="s">
        <v>752</v>
      </c>
    </row>
    <row r="124" spans="1:24" hidden="1" x14ac:dyDescent="0.25">
      <c r="A124" t="s">
        <v>24</v>
      </c>
      <c r="B124" t="s">
        <v>679</v>
      </c>
      <c r="C124" t="s">
        <v>753</v>
      </c>
      <c r="D124" t="s">
        <v>35</v>
      </c>
      <c r="E124" t="s">
        <v>28</v>
      </c>
      <c r="F124" t="s">
        <v>28</v>
      </c>
      <c r="G124" t="s">
        <v>27</v>
      </c>
      <c r="H124" t="s">
        <v>280</v>
      </c>
      <c r="I124" s="3" t="s">
        <v>36</v>
      </c>
      <c r="J124" s="3" t="str">
        <f t="shared" si="10"/>
        <v>2019</v>
      </c>
      <c r="K124" s="3"/>
      <c r="L124" s="3" t="s">
        <v>37</v>
      </c>
      <c r="M124" s="8" t="s">
        <v>682</v>
      </c>
      <c r="N124" s="3"/>
      <c r="O124" s="2" t="s">
        <v>754</v>
      </c>
      <c r="P124" t="s">
        <v>755</v>
      </c>
      <c r="Q124" t="s">
        <v>686</v>
      </c>
      <c r="R124" t="s">
        <v>687</v>
      </c>
      <c r="S124" t="s">
        <v>756</v>
      </c>
      <c r="T124" t="s">
        <v>43</v>
      </c>
      <c r="U124">
        <v>1354512</v>
      </c>
      <c r="V124" t="str">
        <f t="shared" si="11"/>
        <v>09/26/2019</v>
      </c>
      <c r="W124" t="s">
        <v>44</v>
      </c>
      <c r="X124" t="s">
        <v>757</v>
      </c>
    </row>
    <row r="125" spans="1:24" hidden="1" x14ac:dyDescent="0.25">
      <c r="A125" t="s">
        <v>24</v>
      </c>
      <c r="B125" t="s">
        <v>679</v>
      </c>
      <c r="C125" t="s">
        <v>758</v>
      </c>
      <c r="D125" t="s">
        <v>35</v>
      </c>
      <c r="E125" t="s">
        <v>28</v>
      </c>
      <c r="F125" t="s">
        <v>28</v>
      </c>
      <c r="G125" t="s">
        <v>27</v>
      </c>
      <c r="H125" t="s">
        <v>280</v>
      </c>
      <c r="I125" s="3" t="s">
        <v>36</v>
      </c>
      <c r="J125" s="3" t="str">
        <f t="shared" si="10"/>
        <v>2019</v>
      </c>
      <c r="K125" s="3"/>
      <c r="L125" s="3" t="s">
        <v>37</v>
      </c>
      <c r="M125" s="8" t="s">
        <v>682</v>
      </c>
      <c r="N125" s="3"/>
      <c r="O125" s="2" t="s">
        <v>759</v>
      </c>
      <c r="P125" t="s">
        <v>760</v>
      </c>
      <c r="Q125" t="s">
        <v>686</v>
      </c>
      <c r="R125" t="s">
        <v>687</v>
      </c>
      <c r="S125" t="s">
        <v>761</v>
      </c>
      <c r="T125" t="s">
        <v>43</v>
      </c>
      <c r="U125">
        <v>1354513</v>
      </c>
      <c r="V125" t="str">
        <f t="shared" si="11"/>
        <v>09/26/2019</v>
      </c>
      <c r="W125" t="s">
        <v>44</v>
      </c>
    </row>
    <row r="126" spans="1:24" hidden="1" x14ac:dyDescent="0.25">
      <c r="A126" t="s">
        <v>24</v>
      </c>
      <c r="B126" t="s">
        <v>679</v>
      </c>
      <c r="C126" t="s">
        <v>762</v>
      </c>
      <c r="D126" t="s">
        <v>35</v>
      </c>
      <c r="E126" t="s">
        <v>28</v>
      </c>
      <c r="F126" t="s">
        <v>28</v>
      </c>
      <c r="G126" t="s">
        <v>27</v>
      </c>
      <c r="H126" t="s">
        <v>280</v>
      </c>
      <c r="I126" s="3" t="s">
        <v>36</v>
      </c>
      <c r="J126" s="3" t="str">
        <f t="shared" si="10"/>
        <v>2019</v>
      </c>
      <c r="K126" s="3"/>
      <c r="L126" s="3" t="s">
        <v>37</v>
      </c>
      <c r="M126" s="8" t="s">
        <v>682</v>
      </c>
      <c r="N126" s="3"/>
      <c r="O126" s="2" t="s">
        <v>763</v>
      </c>
      <c r="P126" t="s">
        <v>764</v>
      </c>
      <c r="Q126" t="s">
        <v>686</v>
      </c>
      <c r="R126" t="s">
        <v>687</v>
      </c>
      <c r="S126" t="s">
        <v>765</v>
      </c>
      <c r="T126" t="s">
        <v>43</v>
      </c>
      <c r="U126">
        <v>1354514</v>
      </c>
      <c r="V126" t="str">
        <f t="shared" si="11"/>
        <v>09/26/2019</v>
      </c>
      <c r="W126" t="s">
        <v>44</v>
      </c>
    </row>
    <row r="127" spans="1:24" hidden="1" x14ac:dyDescent="0.25">
      <c r="A127" t="s">
        <v>24</v>
      </c>
      <c r="B127" t="s">
        <v>679</v>
      </c>
      <c r="C127" t="s">
        <v>766</v>
      </c>
      <c r="D127" t="s">
        <v>35</v>
      </c>
      <c r="E127" t="s">
        <v>28</v>
      </c>
      <c r="F127" t="s">
        <v>28</v>
      </c>
      <c r="G127" t="s">
        <v>27</v>
      </c>
      <c r="H127" t="s">
        <v>280</v>
      </c>
      <c r="I127" s="3" t="s">
        <v>36</v>
      </c>
      <c r="J127" s="3" t="str">
        <f t="shared" si="10"/>
        <v>2019</v>
      </c>
      <c r="K127" s="3"/>
      <c r="L127" s="3" t="s">
        <v>37</v>
      </c>
      <c r="M127" s="8" t="s">
        <v>682</v>
      </c>
      <c r="N127" s="3"/>
      <c r="O127" s="2" t="s">
        <v>767</v>
      </c>
      <c r="P127" t="s">
        <v>768</v>
      </c>
      <c r="Q127" t="s">
        <v>686</v>
      </c>
      <c r="R127" t="s">
        <v>687</v>
      </c>
      <c r="S127" t="s">
        <v>769</v>
      </c>
      <c r="T127" t="s">
        <v>43</v>
      </c>
      <c r="U127">
        <v>1354515</v>
      </c>
      <c r="V127" t="str">
        <f t="shared" si="11"/>
        <v>09/26/2019</v>
      </c>
      <c r="W127" t="s">
        <v>44</v>
      </c>
      <c r="X127" t="s">
        <v>770</v>
      </c>
    </row>
    <row r="128" spans="1:24" hidden="1" x14ac:dyDescent="0.25">
      <c r="A128" t="s">
        <v>24</v>
      </c>
      <c r="B128" t="s">
        <v>771</v>
      </c>
      <c r="C128" t="s">
        <v>772</v>
      </c>
      <c r="D128" t="s">
        <v>107</v>
      </c>
      <c r="E128" t="s">
        <v>28</v>
      </c>
      <c r="F128" t="s">
        <v>28</v>
      </c>
      <c r="I128" s="3" t="s">
        <v>773</v>
      </c>
      <c r="J128" s="3" t="str">
        <f t="shared" si="10"/>
        <v>2022</v>
      </c>
      <c r="K128" s="3"/>
      <c r="L128" s="1" t="s">
        <v>774</v>
      </c>
      <c r="M128" s="1" t="s">
        <v>774</v>
      </c>
      <c r="N128" s="3"/>
      <c r="O128" s="2" t="s">
        <v>775</v>
      </c>
      <c r="P128" t="s">
        <v>776</v>
      </c>
      <c r="Q128" t="s">
        <v>777</v>
      </c>
      <c r="R128" t="s">
        <v>778</v>
      </c>
      <c r="S128" t="s">
        <v>779</v>
      </c>
      <c r="T128" t="s">
        <v>43</v>
      </c>
      <c r="U128">
        <v>18</v>
      </c>
      <c r="V128" t="str">
        <f t="shared" si="11"/>
        <v>11/14/2022</v>
      </c>
      <c r="W128" t="s">
        <v>44</v>
      </c>
      <c r="X128" t="s">
        <v>780</v>
      </c>
    </row>
    <row r="129" spans="1:24" x14ac:dyDescent="0.25">
      <c r="A129" t="s">
        <v>24</v>
      </c>
      <c r="B129" t="s">
        <v>771</v>
      </c>
      <c r="C129" t="s">
        <v>781</v>
      </c>
      <c r="D129" t="s">
        <v>107</v>
      </c>
      <c r="E129" t="s">
        <v>26</v>
      </c>
      <c r="F129" t="s">
        <v>26</v>
      </c>
      <c r="G129" t="s">
        <v>27</v>
      </c>
      <c r="H129" t="s">
        <v>28</v>
      </c>
      <c r="I129" s="3" t="s">
        <v>782</v>
      </c>
      <c r="J129" s="3" t="str">
        <f t="shared" si="10"/>
        <v>2022</v>
      </c>
      <c r="K129" s="3"/>
      <c r="L129" s="3"/>
      <c r="M129" s="3"/>
      <c r="N129" s="3"/>
      <c r="O129" s="2" t="s">
        <v>784</v>
      </c>
      <c r="P129" t="s">
        <v>785</v>
      </c>
      <c r="Q129" t="s">
        <v>777</v>
      </c>
      <c r="R129" t="s">
        <v>778</v>
      </c>
      <c r="S129" t="s">
        <v>786</v>
      </c>
      <c r="T129" t="s">
        <v>43</v>
      </c>
      <c r="U129">
        <v>27</v>
      </c>
      <c r="V129" t="str">
        <f t="shared" si="11"/>
        <v>12/20/2022</v>
      </c>
      <c r="W129" t="s">
        <v>44</v>
      </c>
      <c r="X129" t="s">
        <v>787</v>
      </c>
    </row>
    <row r="130" spans="1:24" x14ac:dyDescent="0.25">
      <c r="A130" t="s">
        <v>24</v>
      </c>
      <c r="B130" t="s">
        <v>771</v>
      </c>
      <c r="C130" t="s">
        <v>788</v>
      </c>
      <c r="D130" t="s">
        <v>107</v>
      </c>
      <c r="E130" t="s">
        <v>26</v>
      </c>
      <c r="F130" t="s">
        <v>26</v>
      </c>
      <c r="G130" t="s">
        <v>27</v>
      </c>
      <c r="H130" t="s">
        <v>28</v>
      </c>
      <c r="I130" s="3" t="s">
        <v>236</v>
      </c>
      <c r="J130" s="3" t="str">
        <f t="shared" si="10"/>
        <v>2021</v>
      </c>
      <c r="K130" s="3"/>
      <c r="L130" s="3"/>
      <c r="M130" s="3"/>
      <c r="N130" s="3"/>
      <c r="O130" s="2" t="s">
        <v>789</v>
      </c>
      <c r="P130" t="s">
        <v>790</v>
      </c>
      <c r="Q130" t="s">
        <v>777</v>
      </c>
      <c r="R130" t="s">
        <v>778</v>
      </c>
      <c r="S130" t="s">
        <v>791</v>
      </c>
      <c r="T130" t="s">
        <v>43</v>
      </c>
      <c r="U130">
        <v>9</v>
      </c>
      <c r="V130" t="str">
        <f t="shared" si="11"/>
        <v>11/08/2021</v>
      </c>
      <c r="W130" t="s">
        <v>44</v>
      </c>
    </row>
    <row r="131" spans="1:24" hidden="1" x14ac:dyDescent="0.25">
      <c r="A131" t="s">
        <v>24</v>
      </c>
      <c r="B131" t="s">
        <v>792</v>
      </c>
      <c r="C131" t="s">
        <v>793</v>
      </c>
      <c r="D131" t="s">
        <v>35</v>
      </c>
      <c r="E131" t="s">
        <v>28</v>
      </c>
      <c r="F131" t="s">
        <v>28</v>
      </c>
      <c r="I131" s="3" t="s">
        <v>36</v>
      </c>
      <c r="J131" s="3" t="str">
        <f t="shared" si="10"/>
        <v>2019</v>
      </c>
      <c r="K131" s="3"/>
      <c r="L131" s="3" t="s">
        <v>37</v>
      </c>
      <c r="M131" s="1" t="s">
        <v>794</v>
      </c>
      <c r="N131" s="3"/>
      <c r="O131" s="2" t="s">
        <v>795</v>
      </c>
      <c r="P131" t="s">
        <v>796</v>
      </c>
      <c r="Q131" t="s">
        <v>797</v>
      </c>
      <c r="R131" t="s">
        <v>798</v>
      </c>
      <c r="S131" t="s">
        <v>799</v>
      </c>
      <c r="T131" t="s">
        <v>43</v>
      </c>
      <c r="U131">
        <v>156799</v>
      </c>
      <c r="V131" t="str">
        <f t="shared" si="11"/>
        <v>09/26/2019</v>
      </c>
      <c r="W131" t="s">
        <v>44</v>
      </c>
    </row>
    <row r="132" spans="1:24" hidden="1" x14ac:dyDescent="0.25">
      <c r="A132" t="s">
        <v>24</v>
      </c>
      <c r="B132" t="s">
        <v>792</v>
      </c>
      <c r="C132" t="s">
        <v>800</v>
      </c>
      <c r="D132" t="s">
        <v>35</v>
      </c>
      <c r="E132" t="s">
        <v>28</v>
      </c>
      <c r="F132" t="s">
        <v>28</v>
      </c>
      <c r="I132" s="3" t="s">
        <v>36</v>
      </c>
      <c r="J132" s="3" t="str">
        <f t="shared" si="10"/>
        <v>2019</v>
      </c>
      <c r="K132" s="3"/>
      <c r="L132" s="3" t="s">
        <v>37</v>
      </c>
      <c r="M132" s="1" t="s">
        <v>801</v>
      </c>
      <c r="N132" s="3"/>
      <c r="O132" s="2" t="s">
        <v>802</v>
      </c>
      <c r="P132" t="s">
        <v>803</v>
      </c>
      <c r="Q132" t="s">
        <v>797</v>
      </c>
      <c r="R132" t="s">
        <v>798</v>
      </c>
      <c r="S132" t="s">
        <v>804</v>
      </c>
      <c r="T132" t="s">
        <v>43</v>
      </c>
      <c r="U132">
        <v>156800</v>
      </c>
      <c r="V132" t="str">
        <f t="shared" si="11"/>
        <v>09/26/2019</v>
      </c>
      <c r="W132" t="s">
        <v>44</v>
      </c>
      <c r="X132" t="s">
        <v>805</v>
      </c>
    </row>
    <row r="133" spans="1:24" hidden="1" x14ac:dyDescent="0.25">
      <c r="A133" t="s">
        <v>24</v>
      </c>
      <c r="B133" t="s">
        <v>806</v>
      </c>
      <c r="C133" t="s">
        <v>807</v>
      </c>
      <c r="D133" t="s">
        <v>107</v>
      </c>
      <c r="E133" t="s">
        <v>28</v>
      </c>
      <c r="F133" t="s">
        <v>28</v>
      </c>
      <c r="H133" t="s">
        <v>26</v>
      </c>
      <c r="I133" s="3" t="s">
        <v>808</v>
      </c>
      <c r="J133" s="3" t="str">
        <f t="shared" si="10"/>
        <v>2024</v>
      </c>
      <c r="K133" s="3"/>
      <c r="L133" s="3" t="s">
        <v>37</v>
      </c>
      <c r="M133" s="1" t="s">
        <v>809</v>
      </c>
      <c r="N133" s="3"/>
      <c r="O133" s="2" t="s">
        <v>810</v>
      </c>
      <c r="P133" t="s">
        <v>811</v>
      </c>
      <c r="Q133" t="s">
        <v>812</v>
      </c>
      <c r="R133" t="s">
        <v>813</v>
      </c>
      <c r="S133" t="s">
        <v>814</v>
      </c>
      <c r="T133" t="s">
        <v>43</v>
      </c>
      <c r="U133">
        <v>18</v>
      </c>
      <c r="V133" t="str">
        <f t="shared" si="11"/>
        <v>10/01/2024</v>
      </c>
      <c r="W133" t="s">
        <v>44</v>
      </c>
    </row>
    <row r="134" spans="1:24" hidden="1" x14ac:dyDescent="0.25">
      <c r="A134" t="s">
        <v>24</v>
      </c>
      <c r="B134" s="7" t="s">
        <v>792</v>
      </c>
      <c r="C134" s="7" t="s">
        <v>815</v>
      </c>
      <c r="D134" s="7" t="s">
        <v>35</v>
      </c>
      <c r="E134" s="7" t="s">
        <v>28</v>
      </c>
      <c r="F134" s="7" t="s">
        <v>28</v>
      </c>
      <c r="G134" s="7"/>
      <c r="H134" s="7"/>
      <c r="I134" s="13" t="s">
        <v>36</v>
      </c>
      <c r="J134" s="13" t="str">
        <f t="shared" si="10"/>
        <v>2019</v>
      </c>
      <c r="K134" s="13" t="s">
        <v>37</v>
      </c>
      <c r="L134" s="13" t="s">
        <v>37</v>
      </c>
      <c r="M134" s="13" t="s">
        <v>37</v>
      </c>
      <c r="N134" s="13"/>
      <c r="O134" s="14" t="s">
        <v>816</v>
      </c>
      <c r="P134" s="7" t="s">
        <v>817</v>
      </c>
      <c r="Q134" s="7" t="s">
        <v>797</v>
      </c>
      <c r="R134" s="7" t="s">
        <v>798</v>
      </c>
      <c r="S134" s="7" t="s">
        <v>818</v>
      </c>
      <c r="T134" s="7" t="s">
        <v>43</v>
      </c>
      <c r="U134" s="7">
        <v>156801</v>
      </c>
      <c r="V134" s="7" t="str">
        <f t="shared" si="11"/>
        <v>09/26/2019</v>
      </c>
      <c r="W134" s="7" t="s">
        <v>44</v>
      </c>
      <c r="X134" s="7" t="s">
        <v>819</v>
      </c>
    </row>
    <row r="135" spans="1:24" x14ac:dyDescent="0.25">
      <c r="A135" t="s">
        <v>24</v>
      </c>
      <c r="B135" t="s">
        <v>820</v>
      </c>
      <c r="E135" t="s">
        <v>26</v>
      </c>
      <c r="F135" t="s">
        <v>26</v>
      </c>
      <c r="G135" t="s">
        <v>27</v>
      </c>
      <c r="H135" t="s">
        <v>28</v>
      </c>
      <c r="I135" s="3"/>
      <c r="J135" s="3" t="str">
        <f t="shared" si="10"/>
        <v/>
      </c>
      <c r="K135" s="3"/>
      <c r="L135" s="3"/>
      <c r="M135" s="3"/>
      <c r="N135" s="3"/>
      <c r="O135" s="2"/>
      <c r="Q135" t="s">
        <v>821</v>
      </c>
      <c r="R135" t="s">
        <v>822</v>
      </c>
      <c r="X135" t="s">
        <v>823</v>
      </c>
    </row>
    <row r="136" spans="1:24" hidden="1" x14ac:dyDescent="0.25">
      <c r="A136" t="s">
        <v>24</v>
      </c>
      <c r="B136" s="7" t="s">
        <v>824</v>
      </c>
      <c r="C136" s="7" t="s">
        <v>825</v>
      </c>
      <c r="D136" s="7" t="s">
        <v>35</v>
      </c>
      <c r="E136" s="7" t="s">
        <v>28</v>
      </c>
      <c r="F136" s="7" t="s">
        <v>28</v>
      </c>
      <c r="G136" s="7"/>
      <c r="H136" s="7"/>
      <c r="I136" s="13" t="s">
        <v>36</v>
      </c>
      <c r="J136" s="13" t="str">
        <f t="shared" ref="J136:J167" si="12">RIGHT(I136,4)</f>
        <v>2019</v>
      </c>
      <c r="K136" s="13"/>
      <c r="L136" s="13"/>
      <c r="M136" s="13" t="s">
        <v>37</v>
      </c>
      <c r="N136" s="13"/>
      <c r="O136" s="14" t="s">
        <v>827</v>
      </c>
      <c r="P136" s="7" t="s">
        <v>828</v>
      </c>
      <c r="Q136" s="7" t="s">
        <v>829</v>
      </c>
      <c r="R136" s="7" t="s">
        <v>830</v>
      </c>
      <c r="S136" s="7" t="s">
        <v>831</v>
      </c>
      <c r="T136" s="7" t="s">
        <v>43</v>
      </c>
      <c r="U136" s="7">
        <v>568892</v>
      </c>
      <c r="V136" s="7" t="str">
        <f t="shared" ref="V136:V199" si="13">TEXT(DATEVALUE(LEFT(O136,10)), "mm/dd/yyyy")</f>
        <v>09/26/2019</v>
      </c>
      <c r="W136" s="7" t="s">
        <v>44</v>
      </c>
      <c r="X136" s="7"/>
    </row>
    <row r="137" spans="1:24" hidden="1" x14ac:dyDescent="0.25">
      <c r="A137" t="s">
        <v>24</v>
      </c>
      <c r="B137" s="7" t="s">
        <v>824</v>
      </c>
      <c r="C137" s="7" t="s">
        <v>832</v>
      </c>
      <c r="D137" s="7" t="s">
        <v>35</v>
      </c>
      <c r="E137" s="7" t="s">
        <v>28</v>
      </c>
      <c r="F137" s="7" t="s">
        <v>28</v>
      </c>
      <c r="G137" s="7"/>
      <c r="H137" s="7"/>
      <c r="I137" s="13" t="s">
        <v>36</v>
      </c>
      <c r="J137" s="13" t="str">
        <f t="shared" si="12"/>
        <v>2019</v>
      </c>
      <c r="K137" s="13"/>
      <c r="L137" s="13"/>
      <c r="M137" s="13" t="s">
        <v>37</v>
      </c>
      <c r="N137" s="13"/>
      <c r="O137" s="14" t="s">
        <v>834</v>
      </c>
      <c r="P137" s="7" t="s">
        <v>835</v>
      </c>
      <c r="Q137" s="7" t="s">
        <v>829</v>
      </c>
      <c r="R137" s="7" t="s">
        <v>830</v>
      </c>
      <c r="S137" s="7" t="s">
        <v>836</v>
      </c>
      <c r="T137" s="7" t="s">
        <v>43</v>
      </c>
      <c r="U137" s="7">
        <v>568893</v>
      </c>
      <c r="V137" s="7" t="str">
        <f t="shared" si="13"/>
        <v>09/26/2019</v>
      </c>
      <c r="W137" s="7" t="s">
        <v>44</v>
      </c>
      <c r="X137" s="7"/>
    </row>
    <row r="138" spans="1:24" x14ac:dyDescent="0.25">
      <c r="A138" t="s">
        <v>24</v>
      </c>
      <c r="B138" t="s">
        <v>824</v>
      </c>
      <c r="C138" t="s">
        <v>837</v>
      </c>
      <c r="D138" t="s">
        <v>35</v>
      </c>
      <c r="E138" t="s">
        <v>26</v>
      </c>
      <c r="F138" t="s">
        <v>26</v>
      </c>
      <c r="I138" s="3" t="s">
        <v>36</v>
      </c>
      <c r="J138" s="3" t="str">
        <f t="shared" si="12"/>
        <v>2019</v>
      </c>
      <c r="K138" s="3"/>
      <c r="L138" s="3"/>
      <c r="M138" s="3"/>
      <c r="N138" s="3"/>
      <c r="O138" s="2" t="s">
        <v>838</v>
      </c>
      <c r="P138" t="s">
        <v>839</v>
      </c>
      <c r="Q138" t="s">
        <v>829</v>
      </c>
      <c r="R138" t="s">
        <v>830</v>
      </c>
      <c r="S138" t="s">
        <v>840</v>
      </c>
      <c r="T138" t="s">
        <v>43</v>
      </c>
      <c r="U138">
        <v>568895</v>
      </c>
      <c r="V138" t="str">
        <f t="shared" si="13"/>
        <v>09/26/2019</v>
      </c>
      <c r="W138" t="s">
        <v>44</v>
      </c>
    </row>
    <row r="139" spans="1:24" hidden="1" x14ac:dyDescent="0.25">
      <c r="A139" t="s">
        <v>24</v>
      </c>
      <c r="B139" s="6" t="s">
        <v>824</v>
      </c>
      <c r="C139" s="6" t="s">
        <v>841</v>
      </c>
      <c r="D139" s="6" t="s">
        <v>35</v>
      </c>
      <c r="E139" s="6" t="s">
        <v>28</v>
      </c>
      <c r="F139" s="6" t="s">
        <v>28</v>
      </c>
      <c r="G139" s="6"/>
      <c r="H139" s="6"/>
      <c r="I139" s="10" t="s">
        <v>36</v>
      </c>
      <c r="J139" s="10" t="str">
        <f t="shared" si="12"/>
        <v>2019</v>
      </c>
      <c r="K139" s="10"/>
      <c r="L139" s="10"/>
      <c r="M139" s="10" t="s">
        <v>37</v>
      </c>
      <c r="N139" s="10"/>
      <c r="O139" s="11" t="s">
        <v>842</v>
      </c>
      <c r="P139" s="6" t="s">
        <v>843</v>
      </c>
      <c r="Q139" s="6" t="s">
        <v>829</v>
      </c>
      <c r="R139" s="6" t="s">
        <v>830</v>
      </c>
      <c r="S139" s="6" t="s">
        <v>844</v>
      </c>
      <c r="T139" s="6" t="s">
        <v>43</v>
      </c>
      <c r="U139" s="6">
        <v>568896</v>
      </c>
      <c r="V139" s="6" t="str">
        <f t="shared" si="13"/>
        <v>09/26/2019</v>
      </c>
      <c r="W139" s="6" t="s">
        <v>44</v>
      </c>
      <c r="X139" s="6"/>
    </row>
    <row r="140" spans="1:24" hidden="1" x14ac:dyDescent="0.25">
      <c r="A140" t="s">
        <v>24</v>
      </c>
      <c r="B140" s="7" t="s">
        <v>824</v>
      </c>
      <c r="C140" s="7" t="s">
        <v>278</v>
      </c>
      <c r="D140" s="7" t="s">
        <v>35</v>
      </c>
      <c r="E140" s="7" t="s">
        <v>28</v>
      </c>
      <c r="F140" s="7" t="s">
        <v>28</v>
      </c>
      <c r="G140" s="7"/>
      <c r="H140" s="7"/>
      <c r="I140" s="13" t="s">
        <v>36</v>
      </c>
      <c r="J140" s="13" t="str">
        <f t="shared" si="12"/>
        <v>2019</v>
      </c>
      <c r="K140" s="13"/>
      <c r="L140" s="13"/>
      <c r="M140" s="13" t="s">
        <v>37</v>
      </c>
      <c r="N140" s="13"/>
      <c r="O140" s="14" t="s">
        <v>846</v>
      </c>
      <c r="P140" s="7" t="s">
        <v>847</v>
      </c>
      <c r="Q140" s="7" t="s">
        <v>829</v>
      </c>
      <c r="R140" s="7" t="s">
        <v>830</v>
      </c>
      <c r="S140" s="7" t="s">
        <v>848</v>
      </c>
      <c r="T140" s="7" t="s">
        <v>43</v>
      </c>
      <c r="U140" s="7">
        <v>568897</v>
      </c>
      <c r="V140" s="7" t="str">
        <f t="shared" si="13"/>
        <v>09/26/2019</v>
      </c>
      <c r="W140" s="7" t="s">
        <v>44</v>
      </c>
      <c r="X140" s="7" t="s">
        <v>849</v>
      </c>
    </row>
    <row r="141" spans="1:24" hidden="1" x14ac:dyDescent="0.25">
      <c r="A141" t="s">
        <v>24</v>
      </c>
      <c r="B141" s="6" t="s">
        <v>824</v>
      </c>
      <c r="C141" s="6" t="s">
        <v>850</v>
      </c>
      <c r="D141" s="6" t="s">
        <v>35</v>
      </c>
      <c r="E141" s="6" t="s">
        <v>28</v>
      </c>
      <c r="F141" s="6" t="s">
        <v>28</v>
      </c>
      <c r="G141" s="6"/>
      <c r="H141" s="6"/>
      <c r="I141" s="10" t="s">
        <v>36</v>
      </c>
      <c r="J141" s="10" t="str">
        <f t="shared" si="12"/>
        <v>2019</v>
      </c>
      <c r="K141" s="10"/>
      <c r="L141" s="10"/>
      <c r="M141" s="10" t="s">
        <v>37</v>
      </c>
      <c r="N141" s="10"/>
      <c r="O141" s="11" t="s">
        <v>851</v>
      </c>
      <c r="P141" s="6" t="s">
        <v>852</v>
      </c>
      <c r="Q141" s="6" t="s">
        <v>829</v>
      </c>
      <c r="R141" s="6" t="s">
        <v>830</v>
      </c>
      <c r="S141" s="6" t="s">
        <v>853</v>
      </c>
      <c r="T141" s="6" t="s">
        <v>43</v>
      </c>
      <c r="U141" s="6">
        <v>568898</v>
      </c>
      <c r="V141" s="6" t="str">
        <f t="shared" si="13"/>
        <v>09/26/2019</v>
      </c>
      <c r="W141" s="6" t="s">
        <v>44</v>
      </c>
      <c r="X141" s="6"/>
    </row>
    <row r="142" spans="1:24" x14ac:dyDescent="0.25">
      <c r="A142" t="s">
        <v>24</v>
      </c>
      <c r="B142" t="s">
        <v>824</v>
      </c>
      <c r="C142" t="s">
        <v>854</v>
      </c>
      <c r="D142" t="s">
        <v>35</v>
      </c>
      <c r="E142" t="s">
        <v>26</v>
      </c>
      <c r="F142" t="s">
        <v>26</v>
      </c>
      <c r="G142" t="s">
        <v>27</v>
      </c>
      <c r="H142" t="s">
        <v>28</v>
      </c>
      <c r="I142" s="3" t="s">
        <v>36</v>
      </c>
      <c r="J142" s="3" t="str">
        <f t="shared" si="12"/>
        <v>2019</v>
      </c>
      <c r="K142" s="3"/>
      <c r="L142" s="3"/>
      <c r="M142" s="3"/>
      <c r="N142" s="3"/>
      <c r="O142" s="2" t="s">
        <v>855</v>
      </c>
      <c r="P142" t="s">
        <v>856</v>
      </c>
      <c r="Q142" t="s">
        <v>829</v>
      </c>
      <c r="R142" t="s">
        <v>830</v>
      </c>
      <c r="S142" t="s">
        <v>857</v>
      </c>
      <c r="T142" t="s">
        <v>43</v>
      </c>
      <c r="U142">
        <v>568891</v>
      </c>
      <c r="V142" t="str">
        <f t="shared" si="13"/>
        <v>09/26/2019</v>
      </c>
      <c r="W142" t="s">
        <v>44</v>
      </c>
    </row>
    <row r="143" spans="1:24" x14ac:dyDescent="0.25">
      <c r="A143" t="s">
        <v>24</v>
      </c>
      <c r="B143" t="s">
        <v>824</v>
      </c>
      <c r="C143" t="s">
        <v>858</v>
      </c>
      <c r="D143" t="s">
        <v>35</v>
      </c>
      <c r="E143" t="s">
        <v>26</v>
      </c>
      <c r="F143" t="s">
        <v>26</v>
      </c>
      <c r="G143" t="s">
        <v>27</v>
      </c>
      <c r="H143" t="s">
        <v>28</v>
      </c>
      <c r="I143" s="3" t="s">
        <v>36</v>
      </c>
      <c r="J143" s="3" t="str">
        <f t="shared" si="12"/>
        <v>2019</v>
      </c>
      <c r="K143" s="3"/>
      <c r="L143" s="3"/>
      <c r="M143" s="3"/>
      <c r="N143" s="3"/>
      <c r="O143" s="2" t="s">
        <v>859</v>
      </c>
      <c r="P143" t="s">
        <v>860</v>
      </c>
      <c r="Q143" t="s">
        <v>829</v>
      </c>
      <c r="R143" t="s">
        <v>830</v>
      </c>
      <c r="S143" t="s">
        <v>861</v>
      </c>
      <c r="T143" t="s">
        <v>43</v>
      </c>
      <c r="U143">
        <v>568894</v>
      </c>
      <c r="V143" t="str">
        <f t="shared" si="13"/>
        <v>09/26/2019</v>
      </c>
      <c r="W143" t="s">
        <v>44</v>
      </c>
    </row>
    <row r="144" spans="1:24" x14ac:dyDescent="0.25">
      <c r="A144" t="s">
        <v>24</v>
      </c>
      <c r="B144" t="s">
        <v>862</v>
      </c>
      <c r="C144" t="s">
        <v>863</v>
      </c>
      <c r="D144" t="s">
        <v>107</v>
      </c>
      <c r="E144" t="s">
        <v>26</v>
      </c>
      <c r="F144" t="s">
        <v>28</v>
      </c>
      <c r="I144" s="3" t="s">
        <v>864</v>
      </c>
      <c r="J144" s="3" t="str">
        <f t="shared" si="12"/>
        <v>2023</v>
      </c>
      <c r="K144" s="3" t="s">
        <v>402</v>
      </c>
      <c r="L144" s="8" t="s">
        <v>865</v>
      </c>
      <c r="M144" s="3" t="s">
        <v>866</v>
      </c>
      <c r="N144" s="3"/>
      <c r="O144" s="2" t="s">
        <v>867</v>
      </c>
      <c r="P144" t="s">
        <v>868</v>
      </c>
      <c r="Q144" t="s">
        <v>869</v>
      </c>
      <c r="R144" t="s">
        <v>870</v>
      </c>
      <c r="S144" t="s">
        <v>871</v>
      </c>
      <c r="T144" t="s">
        <v>43</v>
      </c>
      <c r="U144">
        <v>2255630</v>
      </c>
      <c r="V144" t="str">
        <f t="shared" si="13"/>
        <v>06/19/2023</v>
      </c>
      <c r="W144" t="s">
        <v>44</v>
      </c>
      <c r="X144" t="s">
        <v>872</v>
      </c>
    </row>
    <row r="145" spans="1:24" x14ac:dyDescent="0.25">
      <c r="A145" t="s">
        <v>24</v>
      </c>
      <c r="B145" t="s">
        <v>862</v>
      </c>
      <c r="C145" t="s">
        <v>873</v>
      </c>
      <c r="D145" t="s">
        <v>107</v>
      </c>
      <c r="E145" t="s">
        <v>26</v>
      </c>
      <c r="F145" t="s">
        <v>26</v>
      </c>
      <c r="G145" t="s">
        <v>27</v>
      </c>
      <c r="H145" t="s">
        <v>28</v>
      </c>
      <c r="I145" s="3" t="s">
        <v>874</v>
      </c>
      <c r="J145" s="3" t="str">
        <f t="shared" si="12"/>
        <v>2021</v>
      </c>
      <c r="K145" s="3"/>
      <c r="L145" s="3"/>
      <c r="M145" s="3"/>
      <c r="N145" s="3"/>
      <c r="O145" s="2" t="s">
        <v>875</v>
      </c>
      <c r="P145" t="s">
        <v>876</v>
      </c>
      <c r="Q145" t="s">
        <v>869</v>
      </c>
      <c r="R145" t="s">
        <v>870</v>
      </c>
      <c r="S145" t="s">
        <v>877</v>
      </c>
      <c r="T145" t="s">
        <v>43</v>
      </c>
      <c r="U145">
        <v>2255607</v>
      </c>
      <c r="V145" t="str">
        <f t="shared" si="13"/>
        <v>05/18/2021</v>
      </c>
      <c r="W145" t="s">
        <v>44</v>
      </c>
      <c r="X145" t="s">
        <v>878</v>
      </c>
    </row>
    <row r="146" spans="1:24" x14ac:dyDescent="0.25">
      <c r="A146" t="s">
        <v>24</v>
      </c>
      <c r="B146" t="s">
        <v>862</v>
      </c>
      <c r="C146" t="s">
        <v>879</v>
      </c>
      <c r="D146" t="s">
        <v>107</v>
      </c>
      <c r="E146" t="s">
        <v>26</v>
      </c>
      <c r="F146" t="s">
        <v>26</v>
      </c>
      <c r="G146" t="s">
        <v>27</v>
      </c>
      <c r="H146" t="s">
        <v>28</v>
      </c>
      <c r="I146" s="3" t="s">
        <v>880</v>
      </c>
      <c r="J146" s="3" t="str">
        <f t="shared" si="12"/>
        <v>2020</v>
      </c>
      <c r="K146" s="3"/>
      <c r="L146" s="3"/>
      <c r="M146" s="3"/>
      <c r="N146" s="3"/>
      <c r="O146" s="2" t="s">
        <v>881</v>
      </c>
      <c r="P146" t="s">
        <v>882</v>
      </c>
      <c r="Q146" t="s">
        <v>869</v>
      </c>
      <c r="R146" t="s">
        <v>870</v>
      </c>
      <c r="S146" t="s">
        <v>883</v>
      </c>
      <c r="T146" t="s">
        <v>43</v>
      </c>
      <c r="U146">
        <v>2255589</v>
      </c>
      <c r="V146" t="str">
        <f t="shared" si="13"/>
        <v>10/22/2020</v>
      </c>
      <c r="W146" t="s">
        <v>44</v>
      </c>
      <c r="X146" t="s">
        <v>884</v>
      </c>
    </row>
    <row r="147" spans="1:24" hidden="1" x14ac:dyDescent="0.25">
      <c r="A147" t="s">
        <v>24</v>
      </c>
      <c r="B147" t="s">
        <v>862</v>
      </c>
      <c r="C147" t="s">
        <v>122</v>
      </c>
      <c r="D147" t="s">
        <v>107</v>
      </c>
      <c r="E147" t="s">
        <v>28</v>
      </c>
      <c r="F147" t="s">
        <v>28</v>
      </c>
      <c r="I147" s="3" t="s">
        <v>2337</v>
      </c>
      <c r="J147" s="3" t="str">
        <f t="shared" si="12"/>
        <v>2023</v>
      </c>
      <c r="K147" s="3"/>
      <c r="L147" s="8" t="s">
        <v>885</v>
      </c>
      <c r="M147" s="3" t="s">
        <v>886</v>
      </c>
      <c r="N147" s="3"/>
      <c r="O147" s="2" t="s">
        <v>887</v>
      </c>
      <c r="P147" t="s">
        <v>888</v>
      </c>
      <c r="Q147" t="s">
        <v>869</v>
      </c>
      <c r="R147" t="s">
        <v>870</v>
      </c>
      <c r="S147" t="s">
        <v>889</v>
      </c>
      <c r="T147" t="s">
        <v>43</v>
      </c>
      <c r="U147">
        <v>2255631</v>
      </c>
      <c r="V147" t="str">
        <f t="shared" si="13"/>
        <v>10/02/2023</v>
      </c>
      <c r="W147" t="s">
        <v>44</v>
      </c>
      <c r="X147" t="s">
        <v>890</v>
      </c>
    </row>
    <row r="148" spans="1:24" hidden="1" x14ac:dyDescent="0.25">
      <c r="A148" t="s">
        <v>24</v>
      </c>
      <c r="B148" t="s">
        <v>862</v>
      </c>
      <c r="C148" t="s">
        <v>891</v>
      </c>
      <c r="D148" t="s">
        <v>107</v>
      </c>
      <c r="E148" t="s">
        <v>28</v>
      </c>
      <c r="F148" t="s">
        <v>28</v>
      </c>
      <c r="I148" s="3" t="s">
        <v>892</v>
      </c>
      <c r="J148" s="3" t="str">
        <f t="shared" si="12"/>
        <v>2023</v>
      </c>
      <c r="K148" s="3" t="s">
        <v>893</v>
      </c>
      <c r="L148" t="s">
        <v>37</v>
      </c>
      <c r="M148" s="8" t="s">
        <v>894</v>
      </c>
      <c r="N148" s="3"/>
      <c r="O148" s="2" t="s">
        <v>895</v>
      </c>
      <c r="P148" t="s">
        <v>896</v>
      </c>
      <c r="Q148" t="s">
        <v>869</v>
      </c>
      <c r="R148" t="s">
        <v>870</v>
      </c>
      <c r="S148" t="s">
        <v>897</v>
      </c>
      <c r="T148" t="s">
        <v>43</v>
      </c>
      <c r="U148">
        <v>2255640</v>
      </c>
      <c r="V148" t="str">
        <f t="shared" si="13"/>
        <v>11/15/2023</v>
      </c>
      <c r="W148" t="s">
        <v>44</v>
      </c>
      <c r="X148" t="s">
        <v>898</v>
      </c>
    </row>
    <row r="149" spans="1:24" hidden="1" x14ac:dyDescent="0.25">
      <c r="A149" t="s">
        <v>24</v>
      </c>
      <c r="B149" t="s">
        <v>862</v>
      </c>
      <c r="C149" t="s">
        <v>899</v>
      </c>
      <c r="D149" t="s">
        <v>35</v>
      </c>
      <c r="E149" t="s">
        <v>28</v>
      </c>
      <c r="F149" t="s">
        <v>28</v>
      </c>
      <c r="I149" s="3" t="s">
        <v>36</v>
      </c>
      <c r="J149" s="3" t="str">
        <f t="shared" si="12"/>
        <v>2019</v>
      </c>
      <c r="K149" s="3"/>
      <c r="L149" t="s">
        <v>37</v>
      </c>
      <c r="M149" s="1" t="s">
        <v>900</v>
      </c>
      <c r="N149" s="3"/>
      <c r="O149" s="2" t="s">
        <v>901</v>
      </c>
      <c r="P149" t="s">
        <v>902</v>
      </c>
      <c r="Q149" t="s">
        <v>869</v>
      </c>
      <c r="R149" t="s">
        <v>870</v>
      </c>
      <c r="S149" t="s">
        <v>903</v>
      </c>
      <c r="T149" t="s">
        <v>43</v>
      </c>
      <c r="U149">
        <v>2255453</v>
      </c>
      <c r="V149" t="str">
        <f t="shared" si="13"/>
        <v>09/26/2019</v>
      </c>
      <c r="W149" t="s">
        <v>44</v>
      </c>
    </row>
    <row r="150" spans="1:24" ht="30" hidden="1" x14ac:dyDescent="0.25">
      <c r="A150" t="s">
        <v>24</v>
      </c>
      <c r="B150" t="s">
        <v>862</v>
      </c>
      <c r="C150" t="s">
        <v>904</v>
      </c>
      <c r="D150" t="s">
        <v>35</v>
      </c>
      <c r="E150" t="s">
        <v>28</v>
      </c>
      <c r="F150" t="s">
        <v>28</v>
      </c>
      <c r="I150" s="3" t="s">
        <v>36</v>
      </c>
      <c r="J150" s="3" t="str">
        <f t="shared" si="12"/>
        <v>2019</v>
      </c>
      <c r="K150" s="27" t="s">
        <v>905</v>
      </c>
      <c r="L150" s="8" t="s">
        <v>906</v>
      </c>
      <c r="M150" s="8" t="s">
        <v>907</v>
      </c>
      <c r="N150" s="27" t="s">
        <v>908</v>
      </c>
      <c r="O150" s="2" t="s">
        <v>909</v>
      </c>
      <c r="P150" t="s">
        <v>910</v>
      </c>
      <c r="Q150" t="s">
        <v>869</v>
      </c>
      <c r="R150" t="s">
        <v>870</v>
      </c>
      <c r="S150" t="s">
        <v>911</v>
      </c>
      <c r="T150" t="s">
        <v>43</v>
      </c>
      <c r="U150">
        <v>2255454</v>
      </c>
      <c r="V150" t="str">
        <f t="shared" si="13"/>
        <v>09/26/2019</v>
      </c>
      <c r="W150" t="s">
        <v>44</v>
      </c>
    </row>
    <row r="151" spans="1:24" hidden="1" x14ac:dyDescent="0.25">
      <c r="A151" t="s">
        <v>24</v>
      </c>
      <c r="B151" t="s">
        <v>862</v>
      </c>
      <c r="C151" t="s">
        <v>517</v>
      </c>
      <c r="D151" t="s">
        <v>35</v>
      </c>
      <c r="E151" t="s">
        <v>28</v>
      </c>
      <c r="F151" t="s">
        <v>28</v>
      </c>
      <c r="I151" s="3" t="s">
        <v>36</v>
      </c>
      <c r="J151" s="3" t="str">
        <f t="shared" si="12"/>
        <v>2019</v>
      </c>
      <c r="K151" s="3"/>
      <c r="L151" s="3" t="s">
        <v>37</v>
      </c>
      <c r="M151" s="1" t="s">
        <v>900</v>
      </c>
      <c r="N151" s="3"/>
      <c r="O151" s="2" t="s">
        <v>912</v>
      </c>
      <c r="P151" t="s">
        <v>913</v>
      </c>
      <c r="Q151" t="s">
        <v>869</v>
      </c>
      <c r="R151" t="s">
        <v>870</v>
      </c>
      <c r="S151" t="s">
        <v>914</v>
      </c>
      <c r="T151" t="s">
        <v>43</v>
      </c>
      <c r="U151">
        <v>2255455</v>
      </c>
      <c r="V151" t="str">
        <f t="shared" si="13"/>
        <v>09/26/2019</v>
      </c>
      <c r="W151" t="s">
        <v>44</v>
      </c>
      <c r="X151" t="s">
        <v>915</v>
      </c>
    </row>
    <row r="152" spans="1:24" hidden="1" x14ac:dyDescent="0.25">
      <c r="A152" t="s">
        <v>24</v>
      </c>
      <c r="B152" t="s">
        <v>862</v>
      </c>
      <c r="C152" t="s">
        <v>916</v>
      </c>
      <c r="D152" t="s">
        <v>35</v>
      </c>
      <c r="E152" t="s">
        <v>28</v>
      </c>
      <c r="F152" t="s">
        <v>28</v>
      </c>
      <c r="I152" s="3" t="s">
        <v>36</v>
      </c>
      <c r="J152" s="3" t="str">
        <f t="shared" si="12"/>
        <v>2019</v>
      </c>
      <c r="K152" s="3"/>
      <c r="L152" s="8" t="s">
        <v>917</v>
      </c>
      <c r="M152" s="1" t="s">
        <v>918</v>
      </c>
      <c r="N152" s="3"/>
      <c r="O152" s="2" t="s">
        <v>919</v>
      </c>
      <c r="P152" t="s">
        <v>920</v>
      </c>
      <c r="Q152" t="s">
        <v>869</v>
      </c>
      <c r="R152" t="s">
        <v>870</v>
      </c>
      <c r="S152" t="s">
        <v>921</v>
      </c>
      <c r="T152" t="s">
        <v>43</v>
      </c>
      <c r="U152">
        <v>2255456</v>
      </c>
      <c r="V152" t="str">
        <f t="shared" si="13"/>
        <v>09/26/2019</v>
      </c>
      <c r="W152" t="s">
        <v>44</v>
      </c>
    </row>
    <row r="153" spans="1:24" hidden="1" x14ac:dyDescent="0.25">
      <c r="A153" t="s">
        <v>24</v>
      </c>
      <c r="B153" t="s">
        <v>862</v>
      </c>
      <c r="C153" t="s">
        <v>922</v>
      </c>
      <c r="D153" t="s">
        <v>35</v>
      </c>
      <c r="E153" t="s">
        <v>28</v>
      </c>
      <c r="F153" t="s">
        <v>28</v>
      </c>
      <c r="I153" s="3" t="s">
        <v>36</v>
      </c>
      <c r="J153" s="3" t="str">
        <f t="shared" si="12"/>
        <v>2019</v>
      </c>
      <c r="K153" s="3"/>
      <c r="L153" s="3" t="s">
        <v>37</v>
      </c>
      <c r="M153" s="1" t="s">
        <v>923</v>
      </c>
      <c r="N153" s="3"/>
      <c r="O153" s="2" t="s">
        <v>924</v>
      </c>
      <c r="P153" t="s">
        <v>925</v>
      </c>
      <c r="Q153" t="s">
        <v>869</v>
      </c>
      <c r="R153" t="s">
        <v>870</v>
      </c>
      <c r="S153" t="s">
        <v>926</v>
      </c>
      <c r="T153" t="s">
        <v>43</v>
      </c>
      <c r="U153">
        <v>2255457</v>
      </c>
      <c r="V153" t="str">
        <f t="shared" si="13"/>
        <v>09/26/2019</v>
      </c>
      <c r="W153" t="s">
        <v>44</v>
      </c>
      <c r="X153" t="s">
        <v>927</v>
      </c>
    </row>
    <row r="154" spans="1:24" hidden="1" x14ac:dyDescent="0.25">
      <c r="A154" t="s">
        <v>24</v>
      </c>
      <c r="B154" t="s">
        <v>862</v>
      </c>
      <c r="C154" t="s">
        <v>928</v>
      </c>
      <c r="D154" t="s">
        <v>107</v>
      </c>
      <c r="E154" t="s">
        <v>28</v>
      </c>
      <c r="F154" t="s">
        <v>28</v>
      </c>
      <c r="I154" s="3" t="s">
        <v>929</v>
      </c>
      <c r="J154" s="3" t="str">
        <f t="shared" si="12"/>
        <v>2021</v>
      </c>
      <c r="K154" s="3"/>
      <c r="L154" s="3" t="s">
        <v>37</v>
      </c>
      <c r="M154" s="3" t="s">
        <v>930</v>
      </c>
      <c r="N154" s="3"/>
      <c r="O154" s="2" t="s">
        <v>931</v>
      </c>
      <c r="P154" t="s">
        <v>932</v>
      </c>
      <c r="Q154" t="s">
        <v>869</v>
      </c>
      <c r="R154" t="s">
        <v>870</v>
      </c>
      <c r="S154" t="s">
        <v>933</v>
      </c>
      <c r="T154" t="s">
        <v>43</v>
      </c>
      <c r="U154">
        <v>2255618</v>
      </c>
      <c r="V154" t="str">
        <f t="shared" si="13"/>
        <v>11/18/2021</v>
      </c>
      <c r="W154" t="s">
        <v>44</v>
      </c>
      <c r="X154" t="s">
        <v>934</v>
      </c>
    </row>
    <row r="155" spans="1:24" hidden="1" x14ac:dyDescent="0.25">
      <c r="A155" t="s">
        <v>24</v>
      </c>
      <c r="B155" t="s">
        <v>862</v>
      </c>
      <c r="C155" t="s">
        <v>935</v>
      </c>
      <c r="D155" t="s">
        <v>35</v>
      </c>
      <c r="E155" t="s">
        <v>28</v>
      </c>
      <c r="F155" t="s">
        <v>28</v>
      </c>
      <c r="I155" s="3" t="s">
        <v>36</v>
      </c>
      <c r="J155" s="3" t="str">
        <f t="shared" si="12"/>
        <v>2019</v>
      </c>
      <c r="K155" s="3"/>
      <c r="L155" s="8" t="s">
        <v>936</v>
      </c>
      <c r="M155" s="1" t="s">
        <v>937</v>
      </c>
      <c r="N155" s="3"/>
      <c r="O155" s="2" t="s">
        <v>938</v>
      </c>
      <c r="P155" t="s">
        <v>939</v>
      </c>
      <c r="Q155" t="s">
        <v>869</v>
      </c>
      <c r="R155" t="s">
        <v>870</v>
      </c>
      <c r="S155" t="s">
        <v>940</v>
      </c>
      <c r="T155" t="s">
        <v>43</v>
      </c>
      <c r="U155">
        <v>2255459</v>
      </c>
      <c r="V155" t="str">
        <f t="shared" si="13"/>
        <v>09/26/2019</v>
      </c>
      <c r="W155" t="s">
        <v>44</v>
      </c>
      <c r="X155" t="s">
        <v>941</v>
      </c>
    </row>
    <row r="156" spans="1:24" hidden="1" x14ac:dyDescent="0.25">
      <c r="A156" t="s">
        <v>24</v>
      </c>
      <c r="B156" t="s">
        <v>862</v>
      </c>
      <c r="C156" t="s">
        <v>942</v>
      </c>
      <c r="D156" t="s">
        <v>107</v>
      </c>
      <c r="E156" t="s">
        <v>28</v>
      </c>
      <c r="F156" t="s">
        <v>28</v>
      </c>
      <c r="I156" s="3" t="s">
        <v>943</v>
      </c>
      <c r="J156" s="3" t="str">
        <f t="shared" si="12"/>
        <v>2021</v>
      </c>
      <c r="K156" s="3"/>
      <c r="L156" s="3" t="s">
        <v>37</v>
      </c>
      <c r="M156" s="3" t="s">
        <v>944</v>
      </c>
      <c r="N156" s="3"/>
      <c r="O156" s="2" t="s">
        <v>945</v>
      </c>
      <c r="P156" t="s">
        <v>946</v>
      </c>
      <c r="Q156" t="s">
        <v>869</v>
      </c>
      <c r="R156" t="s">
        <v>870</v>
      </c>
      <c r="S156" t="s">
        <v>947</v>
      </c>
      <c r="T156" t="s">
        <v>43</v>
      </c>
      <c r="U156">
        <v>2255616</v>
      </c>
      <c r="V156" t="str">
        <f t="shared" si="13"/>
        <v>06/17/2021</v>
      </c>
      <c r="W156" t="s">
        <v>44</v>
      </c>
      <c r="X156" t="s">
        <v>948</v>
      </c>
    </row>
    <row r="157" spans="1:24" hidden="1" x14ac:dyDescent="0.25">
      <c r="A157" t="s">
        <v>24</v>
      </c>
      <c r="B157" s="7" t="s">
        <v>862</v>
      </c>
      <c r="C157" s="7" t="s">
        <v>949</v>
      </c>
      <c r="D157" s="7" t="s">
        <v>35</v>
      </c>
      <c r="E157" s="7" t="s">
        <v>28</v>
      </c>
      <c r="F157" s="7" t="s">
        <v>28</v>
      </c>
      <c r="G157" s="7"/>
      <c r="H157" s="7"/>
      <c r="I157" s="13" t="s">
        <v>36</v>
      </c>
      <c r="J157" s="13" t="str">
        <f t="shared" si="12"/>
        <v>2019</v>
      </c>
      <c r="K157" s="13"/>
      <c r="L157" s="13"/>
      <c r="M157" s="13" t="s">
        <v>37</v>
      </c>
      <c r="N157" s="13"/>
      <c r="O157" s="14" t="s">
        <v>950</v>
      </c>
      <c r="P157" s="7" t="s">
        <v>951</v>
      </c>
      <c r="Q157" s="7" t="s">
        <v>869</v>
      </c>
      <c r="R157" s="7" t="s">
        <v>870</v>
      </c>
      <c r="S157" s="7" t="s">
        <v>952</v>
      </c>
      <c r="T157" s="7" t="s">
        <v>43</v>
      </c>
      <c r="U157" s="7">
        <v>2255458</v>
      </c>
      <c r="V157" s="7" t="str">
        <f t="shared" si="13"/>
        <v>09/26/2019</v>
      </c>
      <c r="W157" s="7" t="s">
        <v>44</v>
      </c>
      <c r="X157" s="7"/>
    </row>
    <row r="158" spans="1:24" hidden="1" x14ac:dyDescent="0.25">
      <c r="A158" t="s">
        <v>24</v>
      </c>
      <c r="B158" t="s">
        <v>862</v>
      </c>
      <c r="C158" t="s">
        <v>953</v>
      </c>
      <c r="D158" t="s">
        <v>107</v>
      </c>
      <c r="E158" t="s">
        <v>28</v>
      </c>
      <c r="F158" t="s">
        <v>28</v>
      </c>
      <c r="I158" s="3" t="s">
        <v>954</v>
      </c>
      <c r="J158" s="3" t="str">
        <f t="shared" si="12"/>
        <v>2020</v>
      </c>
      <c r="K158" s="3"/>
      <c r="L158" s="3" t="s">
        <v>37</v>
      </c>
      <c r="M158" s="3" t="s">
        <v>955</v>
      </c>
      <c r="N158" s="3"/>
      <c r="O158" s="2" t="s">
        <v>956</v>
      </c>
      <c r="P158" t="s">
        <v>957</v>
      </c>
      <c r="Q158" t="s">
        <v>869</v>
      </c>
      <c r="R158" t="s">
        <v>870</v>
      </c>
      <c r="S158" t="s">
        <v>958</v>
      </c>
      <c r="T158" t="s">
        <v>43</v>
      </c>
      <c r="U158">
        <v>2255533</v>
      </c>
      <c r="V158" t="str">
        <f t="shared" si="13"/>
        <v>03/30/2020</v>
      </c>
      <c r="W158" t="s">
        <v>44</v>
      </c>
    </row>
    <row r="159" spans="1:24" hidden="1" x14ac:dyDescent="0.25">
      <c r="A159" t="s">
        <v>24</v>
      </c>
      <c r="B159" s="7" t="s">
        <v>862</v>
      </c>
      <c r="C159" s="7" t="s">
        <v>959</v>
      </c>
      <c r="D159" s="7" t="s">
        <v>35</v>
      </c>
      <c r="E159" s="7" t="s">
        <v>28</v>
      </c>
      <c r="F159" s="7" t="s">
        <v>28</v>
      </c>
      <c r="G159" s="7"/>
      <c r="H159" s="7"/>
      <c r="I159" s="13" t="s">
        <v>36</v>
      </c>
      <c r="J159" s="13" t="str">
        <f t="shared" si="12"/>
        <v>2019</v>
      </c>
      <c r="K159" s="13"/>
      <c r="L159" s="13"/>
      <c r="M159" s="13" t="s">
        <v>37</v>
      </c>
      <c r="N159" s="13"/>
      <c r="O159" s="14" t="s">
        <v>960</v>
      </c>
      <c r="P159" s="7" t="s">
        <v>961</v>
      </c>
      <c r="Q159" s="7" t="s">
        <v>869</v>
      </c>
      <c r="R159" s="7" t="s">
        <v>870</v>
      </c>
      <c r="S159" s="7" t="s">
        <v>962</v>
      </c>
      <c r="T159" s="7" t="s">
        <v>43</v>
      </c>
      <c r="U159" s="7">
        <v>2255460</v>
      </c>
      <c r="V159" s="7" t="str">
        <f t="shared" si="13"/>
        <v>09/26/2019</v>
      </c>
      <c r="W159" s="7" t="s">
        <v>44</v>
      </c>
      <c r="X159" s="7" t="s">
        <v>878</v>
      </c>
    </row>
    <row r="160" spans="1:24" hidden="1" x14ac:dyDescent="0.25">
      <c r="A160" t="s">
        <v>24</v>
      </c>
      <c r="B160" t="s">
        <v>862</v>
      </c>
      <c r="C160" t="s">
        <v>963</v>
      </c>
      <c r="D160" t="s">
        <v>107</v>
      </c>
      <c r="E160" t="s">
        <v>28</v>
      </c>
      <c r="F160" t="s">
        <v>28</v>
      </c>
      <c r="I160" s="3" t="s">
        <v>964</v>
      </c>
      <c r="J160" s="3" t="str">
        <f t="shared" si="12"/>
        <v>2020</v>
      </c>
      <c r="K160" s="3"/>
      <c r="L160" s="3" t="s">
        <v>37</v>
      </c>
      <c r="M160" s="3" t="s">
        <v>965</v>
      </c>
      <c r="N160" s="3"/>
      <c r="O160" s="2" t="s">
        <v>966</v>
      </c>
      <c r="P160" t="s">
        <v>967</v>
      </c>
      <c r="Q160" t="s">
        <v>869</v>
      </c>
      <c r="R160" t="s">
        <v>870</v>
      </c>
      <c r="S160" t="s">
        <v>968</v>
      </c>
      <c r="T160" t="s">
        <v>43</v>
      </c>
      <c r="U160">
        <v>2255543</v>
      </c>
      <c r="V160" t="str">
        <f t="shared" si="13"/>
        <v>06/25/2020</v>
      </c>
      <c r="W160" t="s">
        <v>44</v>
      </c>
      <c r="X160" t="s">
        <v>969</v>
      </c>
    </row>
    <row r="161" spans="1:24" hidden="1" x14ac:dyDescent="0.25">
      <c r="A161" t="s">
        <v>24</v>
      </c>
      <c r="B161" t="s">
        <v>862</v>
      </c>
      <c r="C161" t="s">
        <v>970</v>
      </c>
      <c r="D161" t="s">
        <v>107</v>
      </c>
      <c r="E161" t="s">
        <v>28</v>
      </c>
      <c r="F161" t="s">
        <v>28</v>
      </c>
      <c r="I161" s="3" t="s">
        <v>964</v>
      </c>
      <c r="J161" s="3" t="str">
        <f t="shared" si="12"/>
        <v>2020</v>
      </c>
      <c r="K161" s="3"/>
      <c r="L161" s="3" t="s">
        <v>37</v>
      </c>
      <c r="M161" s="3" t="s">
        <v>965</v>
      </c>
      <c r="N161" s="3"/>
      <c r="O161" s="2" t="s">
        <v>971</v>
      </c>
      <c r="P161" t="s">
        <v>972</v>
      </c>
      <c r="Q161" t="s">
        <v>869</v>
      </c>
      <c r="R161" t="s">
        <v>870</v>
      </c>
      <c r="S161" t="s">
        <v>973</v>
      </c>
      <c r="T161" t="s">
        <v>43</v>
      </c>
      <c r="U161">
        <v>2255570</v>
      </c>
      <c r="V161" t="str">
        <f t="shared" si="13"/>
        <v>06/25/2020</v>
      </c>
      <c r="W161" t="s">
        <v>44</v>
      </c>
      <c r="X161" t="s">
        <v>974</v>
      </c>
    </row>
    <row r="162" spans="1:24" hidden="1" x14ac:dyDescent="0.25">
      <c r="A162" t="s">
        <v>24</v>
      </c>
      <c r="B162" t="s">
        <v>862</v>
      </c>
      <c r="C162" t="s">
        <v>975</v>
      </c>
      <c r="D162" t="s">
        <v>107</v>
      </c>
      <c r="E162" t="s">
        <v>28</v>
      </c>
      <c r="F162" t="s">
        <v>28</v>
      </c>
      <c r="I162" s="3" t="s">
        <v>964</v>
      </c>
      <c r="J162" s="3" t="str">
        <f t="shared" si="12"/>
        <v>2020</v>
      </c>
      <c r="K162" s="3"/>
      <c r="L162" s="3" t="s">
        <v>37</v>
      </c>
      <c r="M162" s="3" t="s">
        <v>965</v>
      </c>
      <c r="N162" s="3"/>
      <c r="O162" s="2" t="s">
        <v>976</v>
      </c>
      <c r="P162" t="s">
        <v>977</v>
      </c>
      <c r="Q162" t="s">
        <v>869</v>
      </c>
      <c r="R162" t="s">
        <v>870</v>
      </c>
      <c r="S162" t="s">
        <v>978</v>
      </c>
      <c r="T162" t="s">
        <v>43</v>
      </c>
      <c r="U162">
        <v>2255561</v>
      </c>
      <c r="V162" t="str">
        <f t="shared" si="13"/>
        <v>06/25/2020</v>
      </c>
      <c r="W162" t="s">
        <v>44</v>
      </c>
      <c r="X162" t="s">
        <v>979</v>
      </c>
    </row>
    <row r="163" spans="1:24" hidden="1" x14ac:dyDescent="0.25">
      <c r="A163" t="s">
        <v>24</v>
      </c>
      <c r="B163" t="s">
        <v>862</v>
      </c>
      <c r="C163" t="s">
        <v>980</v>
      </c>
      <c r="D163" t="s">
        <v>107</v>
      </c>
      <c r="E163" t="s">
        <v>28</v>
      </c>
      <c r="F163" t="s">
        <v>28</v>
      </c>
      <c r="I163" s="3" t="s">
        <v>954</v>
      </c>
      <c r="J163" s="3" t="str">
        <f t="shared" si="12"/>
        <v>2020</v>
      </c>
      <c r="K163" s="3"/>
      <c r="L163" s="3" t="s">
        <v>37</v>
      </c>
      <c r="M163" s="3" t="s">
        <v>965</v>
      </c>
      <c r="N163" s="3"/>
      <c r="O163" s="2" t="s">
        <v>981</v>
      </c>
      <c r="P163" t="s">
        <v>982</v>
      </c>
      <c r="Q163" t="s">
        <v>869</v>
      </c>
      <c r="R163" t="s">
        <v>870</v>
      </c>
      <c r="S163" t="s">
        <v>983</v>
      </c>
      <c r="T163" t="s">
        <v>43</v>
      </c>
      <c r="U163">
        <v>2255524</v>
      </c>
      <c r="V163" t="str">
        <f t="shared" si="13"/>
        <v>03/30/2020</v>
      </c>
      <c r="W163" t="s">
        <v>44</v>
      </c>
      <c r="X163" t="s">
        <v>984</v>
      </c>
    </row>
    <row r="164" spans="1:24" hidden="1" x14ac:dyDescent="0.25">
      <c r="A164" t="s">
        <v>24</v>
      </c>
      <c r="B164" t="s">
        <v>862</v>
      </c>
      <c r="C164" t="s">
        <v>985</v>
      </c>
      <c r="D164" t="s">
        <v>107</v>
      </c>
      <c r="E164" t="s">
        <v>28</v>
      </c>
      <c r="F164" t="s">
        <v>28</v>
      </c>
      <c r="I164" s="3" t="s">
        <v>964</v>
      </c>
      <c r="J164" s="3" t="str">
        <f t="shared" si="12"/>
        <v>2020</v>
      </c>
      <c r="K164" s="3"/>
      <c r="L164" s="3" t="s">
        <v>37</v>
      </c>
      <c r="M164" s="3" t="s">
        <v>965</v>
      </c>
      <c r="N164" s="3"/>
      <c r="O164" s="2" t="s">
        <v>986</v>
      </c>
      <c r="P164" t="s">
        <v>987</v>
      </c>
      <c r="Q164" t="s">
        <v>869</v>
      </c>
      <c r="R164" t="s">
        <v>870</v>
      </c>
      <c r="S164" t="s">
        <v>988</v>
      </c>
      <c r="T164" t="s">
        <v>43</v>
      </c>
      <c r="U164">
        <v>2255552</v>
      </c>
      <c r="V164" t="str">
        <f t="shared" si="13"/>
        <v>06/25/2020</v>
      </c>
      <c r="W164" t="s">
        <v>44</v>
      </c>
    </row>
    <row r="165" spans="1:24" hidden="1" x14ac:dyDescent="0.25">
      <c r="A165" t="s">
        <v>24</v>
      </c>
      <c r="B165" t="s">
        <v>862</v>
      </c>
      <c r="C165" t="s">
        <v>989</v>
      </c>
      <c r="D165" t="s">
        <v>107</v>
      </c>
      <c r="E165" t="s">
        <v>28</v>
      </c>
      <c r="F165" t="s">
        <v>28</v>
      </c>
      <c r="I165" s="3" t="s">
        <v>990</v>
      </c>
      <c r="J165" s="3" t="str">
        <f t="shared" si="12"/>
        <v>2019</v>
      </c>
      <c r="K165" s="3"/>
      <c r="L165" s="3" t="s">
        <v>37</v>
      </c>
      <c r="M165" s="1" t="s">
        <v>991</v>
      </c>
      <c r="N165" s="3"/>
      <c r="O165" s="2" t="s">
        <v>992</v>
      </c>
      <c r="P165" t="s">
        <v>993</v>
      </c>
      <c r="Q165" t="s">
        <v>869</v>
      </c>
      <c r="R165" t="s">
        <v>870</v>
      </c>
      <c r="S165" t="s">
        <v>994</v>
      </c>
      <c r="T165" t="s">
        <v>43</v>
      </c>
      <c r="U165">
        <v>2255523</v>
      </c>
      <c r="V165" t="str">
        <f t="shared" si="13"/>
        <v>11/05/2019</v>
      </c>
      <c r="W165" t="s">
        <v>44</v>
      </c>
    </row>
    <row r="166" spans="1:24" hidden="1" x14ac:dyDescent="0.25">
      <c r="A166" t="s">
        <v>24</v>
      </c>
      <c r="B166" t="s">
        <v>862</v>
      </c>
      <c r="C166" t="s">
        <v>969</v>
      </c>
      <c r="D166" t="s">
        <v>107</v>
      </c>
      <c r="E166" t="s">
        <v>28</v>
      </c>
      <c r="F166" t="s">
        <v>28</v>
      </c>
      <c r="I166" s="3" t="s">
        <v>995</v>
      </c>
      <c r="J166" s="3" t="str">
        <f t="shared" si="12"/>
        <v>2019</v>
      </c>
      <c r="K166" s="3"/>
      <c r="L166" s="3" t="s">
        <v>37</v>
      </c>
      <c r="M166" s="1" t="s">
        <v>996</v>
      </c>
      <c r="N166" s="3"/>
      <c r="O166" s="2" t="s">
        <v>997</v>
      </c>
      <c r="P166" t="s">
        <v>998</v>
      </c>
      <c r="Q166" t="s">
        <v>869</v>
      </c>
      <c r="R166" t="s">
        <v>870</v>
      </c>
      <c r="S166" t="s">
        <v>999</v>
      </c>
      <c r="T166" t="s">
        <v>43</v>
      </c>
      <c r="U166">
        <v>2255496</v>
      </c>
      <c r="V166" t="str">
        <f t="shared" si="13"/>
        <v>10/23/2019</v>
      </c>
      <c r="W166" t="s">
        <v>44</v>
      </c>
      <c r="X166" t="s">
        <v>1000</v>
      </c>
    </row>
    <row r="167" spans="1:24" hidden="1" x14ac:dyDescent="0.25">
      <c r="A167" t="s">
        <v>24</v>
      </c>
      <c r="B167" t="s">
        <v>862</v>
      </c>
      <c r="C167" t="s">
        <v>1001</v>
      </c>
      <c r="D167" t="s">
        <v>107</v>
      </c>
      <c r="E167" t="s">
        <v>28</v>
      </c>
      <c r="F167" t="s">
        <v>28</v>
      </c>
      <c r="I167" s="3" t="s">
        <v>995</v>
      </c>
      <c r="J167" s="3" t="str">
        <f t="shared" si="12"/>
        <v>2019</v>
      </c>
      <c r="K167" s="3"/>
      <c r="L167" s="3" t="s">
        <v>37</v>
      </c>
      <c r="M167" s="1" t="s">
        <v>1002</v>
      </c>
      <c r="N167" s="3"/>
      <c r="O167" s="2" t="s">
        <v>1003</v>
      </c>
      <c r="P167" t="s">
        <v>1004</v>
      </c>
      <c r="Q167" t="s">
        <v>869</v>
      </c>
      <c r="R167" t="s">
        <v>870</v>
      </c>
      <c r="S167" t="s">
        <v>1005</v>
      </c>
      <c r="T167" t="s">
        <v>43</v>
      </c>
      <c r="U167">
        <v>2255505</v>
      </c>
      <c r="V167" t="str">
        <f t="shared" si="13"/>
        <v>10/23/2019</v>
      </c>
      <c r="W167" t="s">
        <v>44</v>
      </c>
      <c r="X167" t="s">
        <v>1006</v>
      </c>
    </row>
    <row r="168" spans="1:24" x14ac:dyDescent="0.25">
      <c r="A168" t="s">
        <v>24</v>
      </c>
      <c r="B168" s="17" t="s">
        <v>1007</v>
      </c>
      <c r="C168" s="17" t="s">
        <v>1008</v>
      </c>
      <c r="D168" s="17" t="s">
        <v>107</v>
      </c>
      <c r="E168" s="17" t="s">
        <v>26</v>
      </c>
      <c r="F168" s="17" t="s">
        <v>28</v>
      </c>
      <c r="G168" s="17" t="s">
        <v>1009</v>
      </c>
      <c r="H168" s="17" t="s">
        <v>280</v>
      </c>
      <c r="I168" s="18" t="s">
        <v>1010</v>
      </c>
      <c r="J168" s="18" t="str">
        <f t="shared" ref="J168:J195" si="14">RIGHT(I168,4)</f>
        <v>2020</v>
      </c>
      <c r="K168" s="18"/>
      <c r="L168" s="18" t="s">
        <v>37</v>
      </c>
      <c r="M168" s="18" t="s">
        <v>37</v>
      </c>
      <c r="N168" s="18"/>
      <c r="O168" s="19" t="s">
        <v>1011</v>
      </c>
      <c r="P168" s="17" t="s">
        <v>1012</v>
      </c>
      <c r="Q168" s="17" t="s">
        <v>1013</v>
      </c>
      <c r="R168" s="17" t="s">
        <v>1014</v>
      </c>
      <c r="S168" s="17" t="s">
        <v>1015</v>
      </c>
      <c r="T168" s="17" t="s">
        <v>43</v>
      </c>
      <c r="U168" s="17">
        <v>84754</v>
      </c>
      <c r="V168" s="17" t="str">
        <f t="shared" si="13"/>
        <v>01/29/2020</v>
      </c>
      <c r="W168" s="17" t="s">
        <v>44</v>
      </c>
      <c r="X168" s="17"/>
    </row>
    <row r="169" spans="1:24" x14ac:dyDescent="0.25">
      <c r="A169" t="s">
        <v>24</v>
      </c>
      <c r="B169" t="s">
        <v>862</v>
      </c>
      <c r="C169" t="s">
        <v>1016</v>
      </c>
      <c r="D169" t="s">
        <v>35</v>
      </c>
      <c r="E169" t="s">
        <v>26</v>
      </c>
      <c r="F169" t="s">
        <v>26</v>
      </c>
      <c r="G169" t="s">
        <v>27</v>
      </c>
      <c r="H169" t="s">
        <v>28</v>
      </c>
      <c r="I169" s="3" t="s">
        <v>36</v>
      </c>
      <c r="J169" s="3" t="str">
        <f t="shared" si="14"/>
        <v>2019</v>
      </c>
      <c r="K169" s="3"/>
      <c r="L169" s="3"/>
      <c r="M169" s="3"/>
      <c r="N169" s="3"/>
      <c r="O169" s="2" t="s">
        <v>1017</v>
      </c>
      <c r="P169" t="s">
        <v>1018</v>
      </c>
      <c r="Q169" t="s">
        <v>869</v>
      </c>
      <c r="R169" t="s">
        <v>870</v>
      </c>
      <c r="S169" t="s">
        <v>1019</v>
      </c>
      <c r="T169" t="s">
        <v>43</v>
      </c>
      <c r="U169">
        <v>2255451</v>
      </c>
      <c r="V169" t="str">
        <f t="shared" si="13"/>
        <v>09/26/2019</v>
      </c>
      <c r="W169" t="s">
        <v>44</v>
      </c>
      <c r="X169" t="s">
        <v>1020</v>
      </c>
    </row>
    <row r="170" spans="1:24" x14ac:dyDescent="0.25">
      <c r="A170" t="s">
        <v>24</v>
      </c>
      <c r="B170" s="17" t="s">
        <v>1007</v>
      </c>
      <c r="C170" s="17" t="s">
        <v>1021</v>
      </c>
      <c r="D170" s="17" t="s">
        <v>107</v>
      </c>
      <c r="E170" s="17" t="s">
        <v>26</v>
      </c>
      <c r="F170" s="17" t="s">
        <v>28</v>
      </c>
      <c r="G170" s="17" t="s">
        <v>1009</v>
      </c>
      <c r="H170" s="17" t="s">
        <v>280</v>
      </c>
      <c r="I170" s="18" t="s">
        <v>1022</v>
      </c>
      <c r="J170" s="18" t="str">
        <f t="shared" si="14"/>
        <v>2020</v>
      </c>
      <c r="K170" s="18"/>
      <c r="L170" s="18" t="s">
        <v>37</v>
      </c>
      <c r="M170" s="18" t="s">
        <v>37</v>
      </c>
      <c r="N170" s="18"/>
      <c r="O170" s="19" t="s">
        <v>1023</v>
      </c>
      <c r="P170" s="17" t="s">
        <v>1024</v>
      </c>
      <c r="Q170" s="17" t="s">
        <v>1013</v>
      </c>
      <c r="R170" s="17" t="s">
        <v>1014</v>
      </c>
      <c r="S170" s="17" t="s">
        <v>1025</v>
      </c>
      <c r="T170" s="17" t="s">
        <v>43</v>
      </c>
      <c r="U170" s="17">
        <v>84697</v>
      </c>
      <c r="V170" s="17" t="str">
        <f t="shared" si="13"/>
        <v>01/27/2020</v>
      </c>
      <c r="W170" s="17" t="s">
        <v>44</v>
      </c>
      <c r="X170" s="17"/>
    </row>
    <row r="171" spans="1:24" x14ac:dyDescent="0.25">
      <c r="A171" t="s">
        <v>24</v>
      </c>
      <c r="B171" s="17" t="s">
        <v>1007</v>
      </c>
      <c r="C171" s="17" t="s">
        <v>1026</v>
      </c>
      <c r="D171" s="17" t="s">
        <v>107</v>
      </c>
      <c r="E171" s="17" t="s">
        <v>26</v>
      </c>
      <c r="F171" s="17" t="s">
        <v>28</v>
      </c>
      <c r="G171" s="17" t="s">
        <v>1009</v>
      </c>
      <c r="H171" s="17" t="s">
        <v>280</v>
      </c>
      <c r="I171" s="18" t="s">
        <v>1022</v>
      </c>
      <c r="J171" s="18" t="str">
        <f t="shared" si="14"/>
        <v>2020</v>
      </c>
      <c r="K171" s="18"/>
      <c r="L171" s="18" t="s">
        <v>37</v>
      </c>
      <c r="M171" s="18" t="s">
        <v>37</v>
      </c>
      <c r="N171" s="18"/>
      <c r="O171" s="19" t="s">
        <v>1027</v>
      </c>
      <c r="P171" s="17" t="s">
        <v>1028</v>
      </c>
      <c r="Q171" s="17" t="s">
        <v>1013</v>
      </c>
      <c r="R171" s="17" t="s">
        <v>1014</v>
      </c>
      <c r="S171" s="17" t="s">
        <v>1029</v>
      </c>
      <c r="T171" s="17" t="s">
        <v>43</v>
      </c>
      <c r="U171" s="17">
        <v>84717</v>
      </c>
      <c r="V171" s="17" t="str">
        <f t="shared" si="13"/>
        <v>01/27/2020</v>
      </c>
      <c r="W171" s="17" t="s">
        <v>44</v>
      </c>
      <c r="X171" s="17"/>
    </row>
    <row r="172" spans="1:24" x14ac:dyDescent="0.25">
      <c r="A172" t="s">
        <v>24</v>
      </c>
      <c r="B172" s="17" t="s">
        <v>1007</v>
      </c>
      <c r="C172" s="17" t="s">
        <v>1030</v>
      </c>
      <c r="D172" s="17" t="s">
        <v>107</v>
      </c>
      <c r="E172" s="17" t="s">
        <v>26</v>
      </c>
      <c r="F172" s="17" t="s">
        <v>28</v>
      </c>
      <c r="G172" s="17" t="s">
        <v>1009</v>
      </c>
      <c r="H172" s="17" t="s">
        <v>280</v>
      </c>
      <c r="I172" s="18" t="s">
        <v>1031</v>
      </c>
      <c r="J172" s="18" t="str">
        <f t="shared" si="14"/>
        <v>2020</v>
      </c>
      <c r="K172" s="18"/>
      <c r="L172" s="18" t="s">
        <v>37</v>
      </c>
      <c r="M172" s="18" t="s">
        <v>37</v>
      </c>
      <c r="N172" s="18"/>
      <c r="O172" s="19" t="s">
        <v>1032</v>
      </c>
      <c r="P172" s="17" t="s">
        <v>1033</v>
      </c>
      <c r="Q172" s="17" t="s">
        <v>1013</v>
      </c>
      <c r="R172" s="17" t="s">
        <v>1014</v>
      </c>
      <c r="S172" s="17" t="s">
        <v>1034</v>
      </c>
      <c r="T172" s="17" t="s">
        <v>43</v>
      </c>
      <c r="U172" s="17">
        <v>84640</v>
      </c>
      <c r="V172" s="17" t="str">
        <f t="shared" si="13"/>
        <v>01/24/2020</v>
      </c>
      <c r="W172" s="17" t="s">
        <v>44</v>
      </c>
      <c r="X172" s="17" t="s">
        <v>1035</v>
      </c>
    </row>
    <row r="173" spans="1:24" x14ac:dyDescent="0.25">
      <c r="A173" t="s">
        <v>24</v>
      </c>
      <c r="B173" t="s">
        <v>1007</v>
      </c>
      <c r="C173" t="s">
        <v>1036</v>
      </c>
      <c r="D173" t="s">
        <v>35</v>
      </c>
      <c r="E173" s="17" t="s">
        <v>26</v>
      </c>
      <c r="F173" t="s">
        <v>26</v>
      </c>
      <c r="G173" t="s">
        <v>37</v>
      </c>
      <c r="H173" t="s">
        <v>28</v>
      </c>
      <c r="I173" s="3" t="s">
        <v>1037</v>
      </c>
      <c r="J173" s="3" t="str">
        <f t="shared" si="14"/>
        <v>2020</v>
      </c>
      <c r="K173" s="3"/>
      <c r="L173" s="3"/>
      <c r="M173" s="3"/>
      <c r="N173" s="3"/>
      <c r="O173" s="2" t="s">
        <v>1038</v>
      </c>
      <c r="P173" t="s">
        <v>1039</v>
      </c>
      <c r="Q173" t="s">
        <v>1013</v>
      </c>
      <c r="R173" t="s">
        <v>1014</v>
      </c>
      <c r="S173" t="s">
        <v>1040</v>
      </c>
      <c r="T173" t="s">
        <v>43</v>
      </c>
      <c r="U173">
        <v>84620</v>
      </c>
      <c r="V173" t="str">
        <f t="shared" si="13"/>
        <v>01/22/2020</v>
      </c>
      <c r="W173" t="s">
        <v>44</v>
      </c>
      <c r="X173" t="s">
        <v>1041</v>
      </c>
    </row>
    <row r="174" spans="1:24" s="17" customFormat="1" x14ac:dyDescent="0.25">
      <c r="A174" t="s">
        <v>24</v>
      </c>
      <c r="B174" s="17" t="s">
        <v>1007</v>
      </c>
      <c r="C174" s="17" t="s">
        <v>1042</v>
      </c>
      <c r="D174" s="17" t="s">
        <v>107</v>
      </c>
      <c r="E174" s="17" t="s">
        <v>26</v>
      </c>
      <c r="F174" s="17" t="s">
        <v>28</v>
      </c>
      <c r="G174" s="17" t="s">
        <v>1009</v>
      </c>
      <c r="H174" s="17" t="s">
        <v>280</v>
      </c>
      <c r="I174" s="18" t="s">
        <v>1031</v>
      </c>
      <c r="J174" s="18" t="str">
        <f t="shared" si="14"/>
        <v>2020</v>
      </c>
      <c r="K174" s="18"/>
      <c r="L174" s="18" t="s">
        <v>37</v>
      </c>
      <c r="M174" s="18" t="s">
        <v>37</v>
      </c>
      <c r="N174" s="18"/>
      <c r="O174" s="19" t="s">
        <v>1043</v>
      </c>
      <c r="P174" s="17" t="s">
        <v>1044</v>
      </c>
      <c r="Q174" s="17" t="s">
        <v>1013</v>
      </c>
      <c r="R174" s="17" t="s">
        <v>1014</v>
      </c>
      <c r="S174" s="17" t="s">
        <v>1045</v>
      </c>
      <c r="T174" s="17" t="s">
        <v>43</v>
      </c>
      <c r="U174" s="17">
        <v>84652</v>
      </c>
      <c r="V174" s="17" t="str">
        <f t="shared" si="13"/>
        <v>01/24/2020</v>
      </c>
      <c r="W174" s="17" t="s">
        <v>44</v>
      </c>
      <c r="X174" s="17" t="s">
        <v>1046</v>
      </c>
    </row>
    <row r="175" spans="1:24" s="17" customFormat="1" x14ac:dyDescent="0.25">
      <c r="A175" t="s">
        <v>24</v>
      </c>
      <c r="B175" s="17" t="s">
        <v>1007</v>
      </c>
      <c r="C175" s="17" t="s">
        <v>1047</v>
      </c>
      <c r="D175" s="17" t="s">
        <v>107</v>
      </c>
      <c r="E175" s="17" t="s">
        <v>26</v>
      </c>
      <c r="F175" s="17" t="s">
        <v>28</v>
      </c>
      <c r="G175" s="17" t="s">
        <v>1009</v>
      </c>
      <c r="H175" s="17" t="s">
        <v>280</v>
      </c>
      <c r="I175" s="18" t="s">
        <v>1022</v>
      </c>
      <c r="J175" s="18" t="str">
        <f t="shared" si="14"/>
        <v>2020</v>
      </c>
      <c r="K175" s="18"/>
      <c r="L175" s="18" t="s">
        <v>37</v>
      </c>
      <c r="M175" s="18" t="s">
        <v>37</v>
      </c>
      <c r="N175" s="18"/>
      <c r="O175" s="19" t="s">
        <v>1048</v>
      </c>
      <c r="P175" s="17" t="s">
        <v>1049</v>
      </c>
      <c r="Q175" s="17" t="s">
        <v>1013</v>
      </c>
      <c r="R175" s="17" t="s">
        <v>1014</v>
      </c>
      <c r="S175" s="17" t="s">
        <v>1050</v>
      </c>
      <c r="T175" s="17" t="s">
        <v>43</v>
      </c>
      <c r="U175" s="17">
        <v>84735</v>
      </c>
      <c r="V175" s="17" t="str">
        <f t="shared" si="13"/>
        <v>01/27/2020</v>
      </c>
      <c r="W175" s="17" t="s">
        <v>44</v>
      </c>
      <c r="X175" s="17" t="s">
        <v>1051</v>
      </c>
    </row>
    <row r="176" spans="1:24" s="17" customFormat="1" x14ac:dyDescent="0.25">
      <c r="A176" t="s">
        <v>24</v>
      </c>
      <c r="B176" s="17" t="s">
        <v>1007</v>
      </c>
      <c r="C176" s="17" t="s">
        <v>1052</v>
      </c>
      <c r="D176" s="17" t="s">
        <v>107</v>
      </c>
      <c r="E176" s="17" t="s">
        <v>26</v>
      </c>
      <c r="F176" s="17" t="s">
        <v>28</v>
      </c>
      <c r="G176" s="17" t="s">
        <v>1009</v>
      </c>
      <c r="H176" s="17" t="s">
        <v>280</v>
      </c>
      <c r="I176" s="18" t="s">
        <v>1022</v>
      </c>
      <c r="J176" s="18" t="str">
        <f t="shared" si="14"/>
        <v>2020</v>
      </c>
      <c r="K176" s="18"/>
      <c r="L176" s="18" t="s">
        <v>37</v>
      </c>
      <c r="M176" s="18" t="s">
        <v>37</v>
      </c>
      <c r="N176" s="18"/>
      <c r="O176" s="19" t="s">
        <v>1053</v>
      </c>
      <c r="P176" s="17" t="s">
        <v>1054</v>
      </c>
      <c r="Q176" s="17" t="s">
        <v>1013</v>
      </c>
      <c r="R176" s="17" t="s">
        <v>1014</v>
      </c>
      <c r="S176" s="17" t="s">
        <v>1055</v>
      </c>
      <c r="T176" s="17" t="s">
        <v>43</v>
      </c>
      <c r="U176" s="17">
        <v>84683</v>
      </c>
      <c r="V176" s="17" t="str">
        <f t="shared" si="13"/>
        <v>01/27/2020</v>
      </c>
      <c r="W176" s="17" t="s">
        <v>44</v>
      </c>
      <c r="X176" s="17" t="s">
        <v>1056</v>
      </c>
    </row>
    <row r="177" spans="1:24" s="17" customFormat="1" x14ac:dyDescent="0.25">
      <c r="A177" t="s">
        <v>24</v>
      </c>
      <c r="B177" s="17" t="s">
        <v>1007</v>
      </c>
      <c r="C177" s="17" t="s">
        <v>1057</v>
      </c>
      <c r="D177" s="17" t="s">
        <v>107</v>
      </c>
      <c r="E177" s="17" t="s">
        <v>26</v>
      </c>
      <c r="F177" s="17" t="s">
        <v>28</v>
      </c>
      <c r="G177" s="17" t="s">
        <v>1009</v>
      </c>
      <c r="H177" s="17" t="s">
        <v>280</v>
      </c>
      <c r="I177" s="18" t="s">
        <v>1037</v>
      </c>
      <c r="J177" s="18" t="str">
        <f t="shared" si="14"/>
        <v>2020</v>
      </c>
      <c r="K177" s="18"/>
      <c r="L177" s="18" t="s">
        <v>37</v>
      </c>
      <c r="M177" s="18" t="s">
        <v>37</v>
      </c>
      <c r="N177" s="18"/>
      <c r="O177" s="19" t="s">
        <v>1058</v>
      </c>
      <c r="P177" s="17" t="s">
        <v>1059</v>
      </c>
      <c r="Q177" s="17" t="s">
        <v>1013</v>
      </c>
      <c r="R177" s="17" t="s">
        <v>1014</v>
      </c>
      <c r="S177" s="17" t="s">
        <v>1060</v>
      </c>
      <c r="T177" s="17" t="s">
        <v>43</v>
      </c>
      <c r="U177" s="17">
        <v>84622</v>
      </c>
      <c r="V177" s="17" t="str">
        <f t="shared" si="13"/>
        <v>01/22/2020</v>
      </c>
      <c r="W177" s="17" t="s">
        <v>44</v>
      </c>
      <c r="X177" s="17" t="s">
        <v>1061</v>
      </c>
    </row>
    <row r="178" spans="1:24" s="17" customFormat="1" x14ac:dyDescent="0.25">
      <c r="A178" t="s">
        <v>24</v>
      </c>
      <c r="B178" s="17" t="s">
        <v>1007</v>
      </c>
      <c r="C178" s="17" t="s">
        <v>1062</v>
      </c>
      <c r="D178" s="17" t="s">
        <v>107</v>
      </c>
      <c r="E178" s="17" t="s">
        <v>26</v>
      </c>
      <c r="F178" s="17" t="s">
        <v>28</v>
      </c>
      <c r="G178" s="17" t="s">
        <v>1009</v>
      </c>
      <c r="H178" s="17" t="s">
        <v>280</v>
      </c>
      <c r="I178" s="18" t="s">
        <v>1022</v>
      </c>
      <c r="J178" s="18" t="str">
        <f t="shared" si="14"/>
        <v>2020</v>
      </c>
      <c r="K178" s="18"/>
      <c r="L178" s="18" t="s">
        <v>37</v>
      </c>
      <c r="M178" s="18" t="s">
        <v>37</v>
      </c>
      <c r="N178" s="18"/>
      <c r="O178" s="19" t="s">
        <v>1063</v>
      </c>
      <c r="P178" s="17" t="s">
        <v>1064</v>
      </c>
      <c r="Q178" s="17" t="s">
        <v>1013</v>
      </c>
      <c r="R178" s="17" t="s">
        <v>1014</v>
      </c>
      <c r="S178" s="17" t="s">
        <v>1065</v>
      </c>
      <c r="T178" s="17" t="s">
        <v>43</v>
      </c>
      <c r="U178" s="17">
        <v>84663</v>
      </c>
      <c r="V178" s="17" t="str">
        <f t="shared" si="13"/>
        <v>01/27/2020</v>
      </c>
      <c r="W178" s="17" t="s">
        <v>44</v>
      </c>
      <c r="X178" s="17" t="s">
        <v>1066</v>
      </c>
    </row>
    <row r="179" spans="1:24" s="17" customFormat="1" x14ac:dyDescent="0.25">
      <c r="A179" t="s">
        <v>24</v>
      </c>
      <c r="B179" s="17" t="s">
        <v>1007</v>
      </c>
      <c r="C179" s="17" t="s">
        <v>1067</v>
      </c>
      <c r="D179" s="17" t="s">
        <v>107</v>
      </c>
      <c r="E179" s="17" t="s">
        <v>26</v>
      </c>
      <c r="F179" s="17" t="s">
        <v>28</v>
      </c>
      <c r="G179" s="17" t="s">
        <v>1009</v>
      </c>
      <c r="H179" s="17" t="s">
        <v>280</v>
      </c>
      <c r="I179" s="18" t="s">
        <v>1022</v>
      </c>
      <c r="J179" s="18" t="str">
        <f t="shared" si="14"/>
        <v>2020</v>
      </c>
      <c r="K179" s="18"/>
      <c r="L179" s="18" t="s">
        <v>37</v>
      </c>
      <c r="M179" s="18" t="s">
        <v>37</v>
      </c>
      <c r="N179" s="18"/>
      <c r="O179" s="19" t="s">
        <v>1068</v>
      </c>
      <c r="P179" s="17" t="s">
        <v>1069</v>
      </c>
      <c r="Q179" s="17" t="s">
        <v>1013</v>
      </c>
      <c r="R179" s="17" t="s">
        <v>1014</v>
      </c>
      <c r="S179" s="17" t="s">
        <v>1070</v>
      </c>
      <c r="T179" s="17" t="s">
        <v>43</v>
      </c>
      <c r="U179" s="17">
        <v>84708</v>
      </c>
      <c r="V179" s="17" t="str">
        <f t="shared" si="13"/>
        <v>01/27/2020</v>
      </c>
      <c r="W179" s="17" t="s">
        <v>44</v>
      </c>
    </row>
    <row r="180" spans="1:24" s="17" customFormat="1" x14ac:dyDescent="0.25">
      <c r="A180" t="s">
        <v>24</v>
      </c>
      <c r="B180" s="17" t="s">
        <v>1007</v>
      </c>
      <c r="C180" s="17" t="s">
        <v>1071</v>
      </c>
      <c r="D180" s="17" t="s">
        <v>107</v>
      </c>
      <c r="E180" s="17" t="s">
        <v>26</v>
      </c>
      <c r="F180" s="17" t="s">
        <v>28</v>
      </c>
      <c r="G180" s="17" t="s">
        <v>1009</v>
      </c>
      <c r="H180" s="17" t="s">
        <v>280</v>
      </c>
      <c r="I180" s="18" t="s">
        <v>1022</v>
      </c>
      <c r="J180" s="18" t="str">
        <f t="shared" si="14"/>
        <v>2020</v>
      </c>
      <c r="K180" s="18"/>
      <c r="L180" s="18" t="s">
        <v>37</v>
      </c>
      <c r="M180" s="18" t="s">
        <v>37</v>
      </c>
      <c r="N180" s="18"/>
      <c r="O180" s="19" t="s">
        <v>1072</v>
      </c>
      <c r="P180" s="17" t="s">
        <v>1073</v>
      </c>
      <c r="Q180" s="17" t="s">
        <v>1013</v>
      </c>
      <c r="R180" s="17" t="s">
        <v>1014</v>
      </c>
      <c r="S180" s="17" t="s">
        <v>1074</v>
      </c>
      <c r="T180" s="17" t="s">
        <v>43</v>
      </c>
      <c r="U180" s="17">
        <v>84726</v>
      </c>
      <c r="V180" s="17" t="str">
        <f t="shared" si="13"/>
        <v>01/27/2020</v>
      </c>
      <c r="W180" s="17" t="s">
        <v>44</v>
      </c>
      <c r="X180" s="17" t="s">
        <v>1075</v>
      </c>
    </row>
    <row r="181" spans="1:24" s="17" customFormat="1" x14ac:dyDescent="0.25">
      <c r="A181" t="s">
        <v>24</v>
      </c>
      <c r="B181" s="17" t="s">
        <v>1007</v>
      </c>
      <c r="C181" s="17" t="s">
        <v>1076</v>
      </c>
      <c r="D181" s="17" t="s">
        <v>107</v>
      </c>
      <c r="E181" s="17" t="s">
        <v>26</v>
      </c>
      <c r="F181" s="17" t="s">
        <v>28</v>
      </c>
      <c r="G181" s="17" t="s">
        <v>1009</v>
      </c>
      <c r="H181" s="17" t="s">
        <v>280</v>
      </c>
      <c r="I181" s="18" t="s">
        <v>1010</v>
      </c>
      <c r="J181" s="18" t="str">
        <f t="shared" si="14"/>
        <v>2020</v>
      </c>
      <c r="K181" s="18"/>
      <c r="L181" s="18" t="s">
        <v>37</v>
      </c>
      <c r="M181" s="18" t="s">
        <v>37</v>
      </c>
      <c r="N181" s="18"/>
      <c r="O181" s="19" t="s">
        <v>1077</v>
      </c>
      <c r="P181" s="17" t="s">
        <v>1078</v>
      </c>
      <c r="Q181" s="17" t="s">
        <v>1013</v>
      </c>
      <c r="R181" s="17" t="s">
        <v>1014</v>
      </c>
      <c r="S181" s="17" t="s">
        <v>1079</v>
      </c>
      <c r="T181" s="17" t="s">
        <v>43</v>
      </c>
      <c r="U181" s="17">
        <v>84745</v>
      </c>
      <c r="V181" s="17" t="str">
        <f t="shared" si="13"/>
        <v>01/29/2020</v>
      </c>
      <c r="W181" s="17" t="s">
        <v>44</v>
      </c>
      <c r="X181" s="17" t="s">
        <v>1080</v>
      </c>
    </row>
    <row r="182" spans="1:24" s="17" customFormat="1" x14ac:dyDescent="0.25">
      <c r="A182" t="s">
        <v>24</v>
      </c>
      <c r="B182" s="17" t="s">
        <v>1007</v>
      </c>
      <c r="C182" s="17" t="s">
        <v>1081</v>
      </c>
      <c r="D182" s="17" t="s">
        <v>107</v>
      </c>
      <c r="E182" s="17" t="s">
        <v>26</v>
      </c>
      <c r="F182" s="17" t="s">
        <v>28</v>
      </c>
      <c r="G182" s="17" t="s">
        <v>1009</v>
      </c>
      <c r="H182" s="17" t="s">
        <v>280</v>
      </c>
      <c r="I182" s="18" t="s">
        <v>1022</v>
      </c>
      <c r="J182" s="18" t="str">
        <f t="shared" si="14"/>
        <v>2020</v>
      </c>
      <c r="K182" s="18"/>
      <c r="L182" s="18" t="s">
        <v>37</v>
      </c>
      <c r="M182" s="18" t="s">
        <v>37</v>
      </c>
      <c r="N182" s="18"/>
      <c r="O182" s="19" t="s">
        <v>1082</v>
      </c>
      <c r="P182" s="17" t="s">
        <v>1083</v>
      </c>
      <c r="Q182" s="17" t="s">
        <v>1013</v>
      </c>
      <c r="R182" s="17" t="s">
        <v>1014</v>
      </c>
      <c r="S182" s="17" t="s">
        <v>1084</v>
      </c>
      <c r="T182" s="17" t="s">
        <v>43</v>
      </c>
      <c r="U182" s="17">
        <v>84662</v>
      </c>
      <c r="V182" s="17" t="str">
        <f t="shared" si="13"/>
        <v>01/27/2020</v>
      </c>
      <c r="W182" s="17" t="s">
        <v>44</v>
      </c>
      <c r="X182" s="17" t="s">
        <v>1085</v>
      </c>
    </row>
    <row r="183" spans="1:24" x14ac:dyDescent="0.25">
      <c r="A183" t="s">
        <v>24</v>
      </c>
      <c r="B183" t="s">
        <v>1007</v>
      </c>
      <c r="C183" t="s">
        <v>1086</v>
      </c>
      <c r="D183" t="s">
        <v>107</v>
      </c>
      <c r="E183" t="s">
        <v>26</v>
      </c>
      <c r="F183" t="s">
        <v>26</v>
      </c>
      <c r="G183" t="s">
        <v>37</v>
      </c>
      <c r="H183" t="s">
        <v>28</v>
      </c>
      <c r="I183" s="3" t="s">
        <v>1087</v>
      </c>
      <c r="J183" s="3" t="str">
        <f t="shared" si="14"/>
        <v>2020</v>
      </c>
      <c r="K183" s="3"/>
      <c r="L183" s="3"/>
      <c r="M183" s="3"/>
      <c r="N183" s="3"/>
      <c r="O183" s="2" t="s">
        <v>1088</v>
      </c>
      <c r="P183" t="s">
        <v>1089</v>
      </c>
      <c r="Q183" t="s">
        <v>1013</v>
      </c>
      <c r="R183" t="s">
        <v>1014</v>
      </c>
      <c r="S183" t="s">
        <v>1090</v>
      </c>
      <c r="T183" t="s">
        <v>43</v>
      </c>
      <c r="U183">
        <v>84772</v>
      </c>
      <c r="V183" t="str">
        <f t="shared" si="13"/>
        <v>04/25/2020</v>
      </c>
      <c r="W183" t="s">
        <v>44</v>
      </c>
    </row>
    <row r="184" spans="1:24" s="17" customFormat="1" x14ac:dyDescent="0.25">
      <c r="A184" t="s">
        <v>24</v>
      </c>
      <c r="B184" s="17" t="s">
        <v>1007</v>
      </c>
      <c r="C184" s="17" t="s">
        <v>1091</v>
      </c>
      <c r="D184" s="17" t="s">
        <v>35</v>
      </c>
      <c r="E184" s="17" t="s">
        <v>26</v>
      </c>
      <c r="F184" s="17" t="s">
        <v>28</v>
      </c>
      <c r="G184" s="17" t="s">
        <v>1009</v>
      </c>
      <c r="H184" s="17" t="s">
        <v>280</v>
      </c>
      <c r="I184" s="18" t="s">
        <v>1092</v>
      </c>
      <c r="J184" s="18" t="str">
        <f t="shared" si="14"/>
        <v>2020</v>
      </c>
      <c r="K184" s="18"/>
      <c r="L184" s="18" t="s">
        <v>37</v>
      </c>
      <c r="M184" s="18" t="s">
        <v>37</v>
      </c>
      <c r="N184" s="18"/>
      <c r="O184" s="19" t="s">
        <v>1093</v>
      </c>
      <c r="P184" s="17" t="s">
        <v>1094</v>
      </c>
      <c r="Q184" s="17" t="s">
        <v>1013</v>
      </c>
      <c r="R184" s="17" t="s">
        <v>1014</v>
      </c>
      <c r="S184" s="17" t="s">
        <v>1095</v>
      </c>
      <c r="T184" s="17" t="s">
        <v>43</v>
      </c>
      <c r="U184" s="17">
        <v>84782</v>
      </c>
      <c r="V184" s="17" t="str">
        <f t="shared" si="13"/>
        <v>09/02/2020</v>
      </c>
      <c r="W184" s="17" t="s">
        <v>44</v>
      </c>
      <c r="X184" s="17" t="s">
        <v>1096</v>
      </c>
    </row>
    <row r="185" spans="1:24" s="17" customFormat="1" x14ac:dyDescent="0.25">
      <c r="A185" t="s">
        <v>24</v>
      </c>
      <c r="B185" s="17" t="s">
        <v>1007</v>
      </c>
      <c r="C185" s="17" t="s">
        <v>1097</v>
      </c>
      <c r="D185" s="17" t="s">
        <v>35</v>
      </c>
      <c r="E185" s="17" t="s">
        <v>26</v>
      </c>
      <c r="F185" s="17" t="s">
        <v>28</v>
      </c>
      <c r="G185" s="17" t="s">
        <v>1009</v>
      </c>
      <c r="H185" s="17" t="s">
        <v>280</v>
      </c>
      <c r="I185" s="18" t="s">
        <v>1022</v>
      </c>
      <c r="J185" s="18" t="str">
        <f t="shared" si="14"/>
        <v>2020</v>
      </c>
      <c r="K185" s="18"/>
      <c r="L185" s="18" t="s">
        <v>37</v>
      </c>
      <c r="M185" s="18" t="s">
        <v>37</v>
      </c>
      <c r="N185" s="18"/>
      <c r="O185" s="19" t="s">
        <v>1098</v>
      </c>
      <c r="P185" s="17" t="s">
        <v>1099</v>
      </c>
      <c r="Q185" s="17" t="s">
        <v>1013</v>
      </c>
      <c r="R185" s="17" t="s">
        <v>1014</v>
      </c>
      <c r="S185" s="17" t="s">
        <v>1100</v>
      </c>
      <c r="T185" s="17" t="s">
        <v>43</v>
      </c>
      <c r="U185" s="17">
        <v>84699</v>
      </c>
      <c r="V185" s="17" t="str">
        <f t="shared" si="13"/>
        <v>01/27/2020</v>
      </c>
      <c r="W185" s="17" t="s">
        <v>44</v>
      </c>
      <c r="X185" s="17" t="s">
        <v>1101</v>
      </c>
    </row>
    <row r="186" spans="1:24" s="17" customFormat="1" x14ac:dyDescent="0.25">
      <c r="A186" t="s">
        <v>24</v>
      </c>
      <c r="B186" s="17" t="s">
        <v>1007</v>
      </c>
      <c r="C186" s="17" t="s">
        <v>1102</v>
      </c>
      <c r="D186" s="17" t="s">
        <v>107</v>
      </c>
      <c r="E186" s="17" t="s">
        <v>26</v>
      </c>
      <c r="F186" s="17" t="s">
        <v>28</v>
      </c>
      <c r="G186" s="17" t="s">
        <v>1009</v>
      </c>
      <c r="H186" s="17" t="s">
        <v>280</v>
      </c>
      <c r="I186" s="18" t="s">
        <v>1022</v>
      </c>
      <c r="J186" s="18" t="str">
        <f t="shared" si="14"/>
        <v>2020</v>
      </c>
      <c r="K186" s="18"/>
      <c r="L186" s="18" t="s">
        <v>37</v>
      </c>
      <c r="M186" s="18" t="s">
        <v>37</v>
      </c>
      <c r="N186" s="18"/>
      <c r="O186" s="19" t="s">
        <v>1103</v>
      </c>
      <c r="P186" s="17" t="s">
        <v>1104</v>
      </c>
      <c r="Q186" s="17" t="s">
        <v>1013</v>
      </c>
      <c r="R186" s="17" t="s">
        <v>1014</v>
      </c>
      <c r="S186" s="17" t="s">
        <v>1105</v>
      </c>
      <c r="T186" s="17" t="s">
        <v>43</v>
      </c>
      <c r="U186" s="17">
        <v>84672</v>
      </c>
      <c r="V186" s="17" t="str">
        <f t="shared" si="13"/>
        <v>01/27/2020</v>
      </c>
      <c r="W186" s="17" t="s">
        <v>44</v>
      </c>
    </row>
    <row r="187" spans="1:24" s="17" customFormat="1" x14ac:dyDescent="0.25">
      <c r="A187" t="s">
        <v>24</v>
      </c>
      <c r="B187" s="17" t="s">
        <v>1007</v>
      </c>
      <c r="C187" s="17" t="s">
        <v>1106</v>
      </c>
      <c r="D187" s="17" t="s">
        <v>107</v>
      </c>
      <c r="E187" s="17" t="s">
        <v>26</v>
      </c>
      <c r="F187" s="17" t="s">
        <v>28</v>
      </c>
      <c r="G187" s="17" t="s">
        <v>1009</v>
      </c>
      <c r="H187" s="17" t="s">
        <v>280</v>
      </c>
      <c r="I187" s="18" t="s">
        <v>1107</v>
      </c>
      <c r="J187" s="18" t="str">
        <f t="shared" si="14"/>
        <v>2020</v>
      </c>
      <c r="K187" s="18"/>
      <c r="L187" s="18" t="s">
        <v>37</v>
      </c>
      <c r="M187" s="18" t="s">
        <v>37</v>
      </c>
      <c r="N187" s="18"/>
      <c r="O187" s="19" t="s">
        <v>1108</v>
      </c>
      <c r="P187" s="17" t="s">
        <v>1109</v>
      </c>
      <c r="Q187" s="17" t="s">
        <v>1013</v>
      </c>
      <c r="R187" s="17" t="s">
        <v>1014</v>
      </c>
      <c r="S187" s="17" t="s">
        <v>1110</v>
      </c>
      <c r="T187" s="17" t="s">
        <v>43</v>
      </c>
      <c r="U187" s="17">
        <v>84781</v>
      </c>
      <c r="V187" s="17" t="str">
        <f t="shared" si="13"/>
        <v>05/18/2020</v>
      </c>
      <c r="W187" s="17" t="s">
        <v>44</v>
      </c>
      <c r="X187" s="17" t="s">
        <v>1111</v>
      </c>
    </row>
    <row r="188" spans="1:24" s="17" customFormat="1" x14ac:dyDescent="0.25">
      <c r="A188" t="s">
        <v>24</v>
      </c>
      <c r="B188" s="17" t="s">
        <v>1007</v>
      </c>
      <c r="C188" s="17" t="s">
        <v>1112</v>
      </c>
      <c r="D188" s="17" t="s">
        <v>107</v>
      </c>
      <c r="E188" s="17" t="s">
        <v>26</v>
      </c>
      <c r="F188" s="17" t="s">
        <v>28</v>
      </c>
      <c r="G188" s="17" t="s">
        <v>1009</v>
      </c>
      <c r="H188" s="17" t="s">
        <v>280</v>
      </c>
      <c r="I188" s="18" t="s">
        <v>1113</v>
      </c>
      <c r="J188" s="18" t="str">
        <f t="shared" si="14"/>
        <v>2020</v>
      </c>
      <c r="K188" s="18"/>
      <c r="L188" s="18" t="s">
        <v>37</v>
      </c>
      <c r="M188" s="18" t="s">
        <v>37</v>
      </c>
      <c r="N188" s="18"/>
      <c r="O188" s="19" t="s">
        <v>1114</v>
      </c>
      <c r="P188" s="17" t="s">
        <v>1115</v>
      </c>
      <c r="Q188" s="17" t="s">
        <v>1013</v>
      </c>
      <c r="R188" s="17" t="s">
        <v>1014</v>
      </c>
      <c r="S188" s="17" t="s">
        <v>1116</v>
      </c>
      <c r="T188" s="17" t="s">
        <v>43</v>
      </c>
      <c r="U188" s="17">
        <v>84763</v>
      </c>
      <c r="V188" s="17" t="str">
        <f t="shared" si="13"/>
        <v>02/11/2020</v>
      </c>
      <c r="W188" s="17" t="s">
        <v>44</v>
      </c>
      <c r="X188" s="17" t="s">
        <v>1117</v>
      </c>
    </row>
    <row r="189" spans="1:24" s="17" customFormat="1" x14ac:dyDescent="0.25">
      <c r="A189" t="s">
        <v>24</v>
      </c>
      <c r="B189" s="17" t="s">
        <v>1007</v>
      </c>
      <c r="C189" s="17" t="s">
        <v>1118</v>
      </c>
      <c r="D189" s="17" t="s">
        <v>107</v>
      </c>
      <c r="E189" s="17" t="s">
        <v>26</v>
      </c>
      <c r="F189" s="17" t="s">
        <v>28</v>
      </c>
      <c r="G189" s="17" t="s">
        <v>1009</v>
      </c>
      <c r="H189" s="17" t="s">
        <v>280</v>
      </c>
      <c r="I189" s="18" t="s">
        <v>1031</v>
      </c>
      <c r="J189" s="18" t="str">
        <f t="shared" si="14"/>
        <v>2020</v>
      </c>
      <c r="K189" s="18"/>
      <c r="L189" s="18" t="s">
        <v>37</v>
      </c>
      <c r="M189" s="18" t="s">
        <v>37</v>
      </c>
      <c r="N189" s="18"/>
      <c r="O189" s="19" t="s">
        <v>1119</v>
      </c>
      <c r="P189" s="17" t="s">
        <v>1120</v>
      </c>
      <c r="Q189" s="17" t="s">
        <v>1013</v>
      </c>
      <c r="R189" s="17" t="s">
        <v>1014</v>
      </c>
      <c r="S189" s="17" t="s">
        <v>1121</v>
      </c>
      <c r="T189" s="17" t="s">
        <v>43</v>
      </c>
      <c r="U189" s="17">
        <v>84631</v>
      </c>
      <c r="V189" s="17" t="str">
        <f t="shared" si="13"/>
        <v>01/24/2020</v>
      </c>
      <c r="W189" s="17" t="s">
        <v>44</v>
      </c>
      <c r="X189" s="17" t="s">
        <v>1122</v>
      </c>
    </row>
    <row r="190" spans="1:24" s="17" customFormat="1" hidden="1" x14ac:dyDescent="0.25">
      <c r="A190" t="s">
        <v>24</v>
      </c>
      <c r="B190" t="s">
        <v>862</v>
      </c>
      <c r="C190" t="s">
        <v>1123</v>
      </c>
      <c r="D190" t="s">
        <v>107</v>
      </c>
      <c r="E190" t="s">
        <v>28</v>
      </c>
      <c r="F190" t="s">
        <v>28</v>
      </c>
      <c r="G190"/>
      <c r="H190"/>
      <c r="I190" s="3" t="s">
        <v>990</v>
      </c>
      <c r="J190" s="3" t="str">
        <f t="shared" si="14"/>
        <v>2019</v>
      </c>
      <c r="K190" s="3"/>
      <c r="L190" s="3" t="s">
        <v>37</v>
      </c>
      <c r="M190" s="1" t="s">
        <v>937</v>
      </c>
      <c r="N190" s="3"/>
      <c r="O190" s="2" t="s">
        <v>1124</v>
      </c>
      <c r="P190" t="s">
        <v>1125</v>
      </c>
      <c r="Q190" t="s">
        <v>869</v>
      </c>
      <c r="R190" t="s">
        <v>870</v>
      </c>
      <c r="S190" t="s">
        <v>1126</v>
      </c>
      <c r="T190" t="s">
        <v>43</v>
      </c>
      <c r="U190">
        <v>2255514</v>
      </c>
      <c r="V190" t="str">
        <f t="shared" si="13"/>
        <v>11/05/2019</v>
      </c>
      <c r="W190" t="s">
        <v>44</v>
      </c>
      <c r="X190" t="s">
        <v>1127</v>
      </c>
    </row>
    <row r="191" spans="1:24" s="17" customFormat="1" hidden="1" x14ac:dyDescent="0.25">
      <c r="A191" t="s">
        <v>24</v>
      </c>
      <c r="B191" t="s">
        <v>862</v>
      </c>
      <c r="C191" t="s">
        <v>927</v>
      </c>
      <c r="D191" t="s">
        <v>107</v>
      </c>
      <c r="E191" t="s">
        <v>28</v>
      </c>
      <c r="F191" t="s">
        <v>28</v>
      </c>
      <c r="G191"/>
      <c r="H191"/>
      <c r="I191" s="3" t="s">
        <v>995</v>
      </c>
      <c r="J191" s="3" t="str">
        <f t="shared" si="14"/>
        <v>2019</v>
      </c>
      <c r="K191" s="3"/>
      <c r="L191" s="3" t="s">
        <v>37</v>
      </c>
      <c r="M191" s="1" t="s">
        <v>996</v>
      </c>
      <c r="N191" s="3"/>
      <c r="O191" s="2" t="s">
        <v>1128</v>
      </c>
      <c r="P191" t="s">
        <v>1129</v>
      </c>
      <c r="Q191" t="s">
        <v>869</v>
      </c>
      <c r="R191" t="s">
        <v>870</v>
      </c>
      <c r="S191" t="s">
        <v>1130</v>
      </c>
      <c r="T191" t="s">
        <v>43</v>
      </c>
      <c r="U191">
        <v>2255478</v>
      </c>
      <c r="V191" t="str">
        <f t="shared" si="13"/>
        <v>10/23/2019</v>
      </c>
      <c r="W191" t="s">
        <v>44</v>
      </c>
      <c r="X191"/>
    </row>
    <row r="192" spans="1:24" s="17" customFormat="1" hidden="1" x14ac:dyDescent="0.25">
      <c r="A192" t="s">
        <v>24</v>
      </c>
      <c r="B192" t="s">
        <v>862</v>
      </c>
      <c r="C192" t="s">
        <v>979</v>
      </c>
      <c r="D192" t="s">
        <v>107</v>
      </c>
      <c r="E192" t="s">
        <v>28</v>
      </c>
      <c r="F192" t="s">
        <v>28</v>
      </c>
      <c r="G192"/>
      <c r="H192"/>
      <c r="I192" s="3" t="s">
        <v>995</v>
      </c>
      <c r="J192" s="3" t="str">
        <f t="shared" si="14"/>
        <v>2019</v>
      </c>
      <c r="K192" s="3"/>
      <c r="L192" s="3" t="s">
        <v>37</v>
      </c>
      <c r="M192" s="1" t="s">
        <v>996</v>
      </c>
      <c r="N192" s="3"/>
      <c r="O192" s="2" t="s">
        <v>1131</v>
      </c>
      <c r="P192" t="s">
        <v>1132</v>
      </c>
      <c r="Q192" t="s">
        <v>869</v>
      </c>
      <c r="R192" t="s">
        <v>870</v>
      </c>
      <c r="S192" t="s">
        <v>1133</v>
      </c>
      <c r="T192" t="s">
        <v>43</v>
      </c>
      <c r="U192">
        <v>2255487</v>
      </c>
      <c r="V192" t="str">
        <f t="shared" si="13"/>
        <v>10/23/2019</v>
      </c>
      <c r="W192" t="s">
        <v>44</v>
      </c>
      <c r="X192"/>
    </row>
    <row r="193" spans="1:24" s="17" customFormat="1" hidden="1" x14ac:dyDescent="0.25">
      <c r="A193" t="s">
        <v>24</v>
      </c>
      <c r="B193" t="s">
        <v>1134</v>
      </c>
      <c r="C193" t="s">
        <v>1135</v>
      </c>
      <c r="D193" t="s">
        <v>107</v>
      </c>
      <c r="E193" t="s">
        <v>28</v>
      </c>
      <c r="F193" t="s">
        <v>28</v>
      </c>
      <c r="G193"/>
      <c r="H193"/>
      <c r="I193" s="3" t="s">
        <v>1136</v>
      </c>
      <c r="J193" s="3" t="str">
        <f t="shared" si="14"/>
        <v>2020</v>
      </c>
      <c r="K193" s="3"/>
      <c r="L193" s="3" t="s">
        <v>37</v>
      </c>
      <c r="M193" s="1" t="s">
        <v>1137</v>
      </c>
      <c r="N193" s="3"/>
      <c r="O193" s="2" t="s">
        <v>1138</v>
      </c>
      <c r="P193" t="s">
        <v>1139</v>
      </c>
      <c r="Q193" t="s">
        <v>1140</v>
      </c>
      <c r="R193" t="s">
        <v>1141</v>
      </c>
      <c r="S193" t="s">
        <v>1142</v>
      </c>
      <c r="T193" t="s">
        <v>43</v>
      </c>
      <c r="U193">
        <v>435667</v>
      </c>
      <c r="V193" t="str">
        <f t="shared" si="13"/>
        <v>03/12/2020</v>
      </c>
      <c r="W193" t="s">
        <v>44</v>
      </c>
      <c r="X193"/>
    </row>
    <row r="194" spans="1:24" x14ac:dyDescent="0.25">
      <c r="A194" t="s">
        <v>24</v>
      </c>
      <c r="B194" t="s">
        <v>1007</v>
      </c>
      <c r="C194" t="s">
        <v>1143</v>
      </c>
      <c r="D194" t="s">
        <v>35</v>
      </c>
      <c r="E194" t="s">
        <v>26</v>
      </c>
      <c r="F194" t="s">
        <v>26</v>
      </c>
      <c r="G194" t="s">
        <v>37</v>
      </c>
      <c r="H194" t="s">
        <v>28</v>
      </c>
      <c r="I194" s="3" t="s">
        <v>36</v>
      </c>
      <c r="J194" s="3" t="str">
        <f t="shared" si="14"/>
        <v>2019</v>
      </c>
      <c r="K194" s="3"/>
      <c r="L194" s="3"/>
      <c r="M194" s="3"/>
      <c r="N194" s="3"/>
      <c r="O194" s="2" t="s">
        <v>1144</v>
      </c>
      <c r="P194" t="s">
        <v>1145</v>
      </c>
      <c r="Q194" t="s">
        <v>1013</v>
      </c>
      <c r="R194" t="s">
        <v>1014</v>
      </c>
      <c r="S194" t="s">
        <v>1146</v>
      </c>
      <c r="T194" t="s">
        <v>43</v>
      </c>
      <c r="U194">
        <v>84518</v>
      </c>
      <c r="V194" t="str">
        <f t="shared" si="13"/>
        <v>09/26/2019</v>
      </c>
      <c r="W194" t="s">
        <v>44</v>
      </c>
      <c r="X194" t="s">
        <v>1147</v>
      </c>
    </row>
    <row r="195" spans="1:24" x14ac:dyDescent="0.25">
      <c r="A195" t="s">
        <v>24</v>
      </c>
      <c r="B195" t="s">
        <v>1007</v>
      </c>
      <c r="C195" t="s">
        <v>1148</v>
      </c>
      <c r="D195" t="s">
        <v>35</v>
      </c>
      <c r="E195" t="s">
        <v>26</v>
      </c>
      <c r="F195" t="s">
        <v>26</v>
      </c>
      <c r="G195" t="s">
        <v>37</v>
      </c>
      <c r="H195" t="s">
        <v>28</v>
      </c>
      <c r="I195" s="3" t="s">
        <v>36</v>
      </c>
      <c r="J195" s="3" t="str">
        <f t="shared" si="14"/>
        <v>2019</v>
      </c>
      <c r="K195" s="3"/>
      <c r="L195" s="3"/>
      <c r="M195" s="3"/>
      <c r="N195" s="3"/>
      <c r="O195" s="2" t="s">
        <v>1149</v>
      </c>
      <c r="P195" t="s">
        <v>1150</v>
      </c>
      <c r="Q195" t="s">
        <v>1013</v>
      </c>
      <c r="R195" t="s">
        <v>1014</v>
      </c>
      <c r="S195" t="s">
        <v>1151</v>
      </c>
      <c r="T195" t="s">
        <v>43</v>
      </c>
      <c r="U195">
        <v>84519</v>
      </c>
      <c r="V195" t="str">
        <f t="shared" si="13"/>
        <v>09/26/2019</v>
      </c>
      <c r="W195" t="s">
        <v>44</v>
      </c>
      <c r="X195" t="s">
        <v>1152</v>
      </c>
    </row>
    <row r="196" spans="1:24" s="17" customFormat="1" hidden="1" x14ac:dyDescent="0.25">
      <c r="A196" t="s">
        <v>24</v>
      </c>
      <c r="B196" t="s">
        <v>1134</v>
      </c>
      <c r="C196" t="s">
        <v>127</v>
      </c>
      <c r="D196" t="s">
        <v>35</v>
      </c>
      <c r="E196" t="s">
        <v>28</v>
      </c>
      <c r="F196" t="s">
        <v>28</v>
      </c>
      <c r="G196"/>
      <c r="H196"/>
      <c r="I196" s="3" t="s">
        <v>52</v>
      </c>
      <c r="J196" s="3" t="s">
        <v>1153</v>
      </c>
      <c r="K196" s="3"/>
      <c r="L196" s="1" t="s">
        <v>1154</v>
      </c>
      <c r="M196" s="1" t="s">
        <v>1155</v>
      </c>
      <c r="N196" s="3"/>
      <c r="O196" s="2" t="s">
        <v>1156</v>
      </c>
      <c r="P196" t="s">
        <v>1157</v>
      </c>
      <c r="Q196" t="s">
        <v>1140</v>
      </c>
      <c r="R196" t="s">
        <v>1141</v>
      </c>
      <c r="S196" t="s">
        <v>1158</v>
      </c>
      <c r="T196" t="s">
        <v>43</v>
      </c>
      <c r="U196">
        <v>435633</v>
      </c>
      <c r="V196" t="str">
        <f t="shared" si="13"/>
        <v>10/25/2019</v>
      </c>
      <c r="W196" t="s">
        <v>44</v>
      </c>
      <c r="X196"/>
    </row>
    <row r="197" spans="1:24" x14ac:dyDescent="0.25">
      <c r="A197" t="s">
        <v>24</v>
      </c>
      <c r="B197" t="s">
        <v>1007</v>
      </c>
      <c r="C197" t="s">
        <v>1159</v>
      </c>
      <c r="D197" t="s">
        <v>35</v>
      </c>
      <c r="E197" t="s">
        <v>26</v>
      </c>
      <c r="F197" t="s">
        <v>26</v>
      </c>
      <c r="G197" t="s">
        <v>37</v>
      </c>
      <c r="H197" t="s">
        <v>28</v>
      </c>
      <c r="I197" s="3" t="s">
        <v>36</v>
      </c>
      <c r="J197" s="3" t="str">
        <f t="shared" ref="J197:J260" si="15">RIGHT(I197,4)</f>
        <v>2019</v>
      </c>
      <c r="K197" s="3"/>
      <c r="L197" s="3"/>
      <c r="M197" s="3"/>
      <c r="N197" s="3"/>
      <c r="O197" s="2" t="s">
        <v>1160</v>
      </c>
      <c r="P197" t="s">
        <v>1161</v>
      </c>
      <c r="Q197" t="s">
        <v>1013</v>
      </c>
      <c r="R197" t="s">
        <v>1014</v>
      </c>
      <c r="S197" t="s">
        <v>1162</v>
      </c>
      <c r="T197" t="s">
        <v>43</v>
      </c>
      <c r="U197">
        <v>84521</v>
      </c>
      <c r="V197" t="str">
        <f t="shared" si="13"/>
        <v>09/26/2019</v>
      </c>
      <c r="W197" t="s">
        <v>44</v>
      </c>
      <c r="X197" t="s">
        <v>1163</v>
      </c>
    </row>
    <row r="198" spans="1:24" s="17" customFormat="1" hidden="1" x14ac:dyDescent="0.25">
      <c r="A198" t="s">
        <v>24</v>
      </c>
      <c r="B198" t="s">
        <v>1134</v>
      </c>
      <c r="C198" t="s">
        <v>235</v>
      </c>
      <c r="D198" t="s">
        <v>35</v>
      </c>
      <c r="E198" t="s">
        <v>28</v>
      </c>
      <c r="F198" t="s">
        <v>28</v>
      </c>
      <c r="G198"/>
      <c r="H198"/>
      <c r="I198" s="3" t="s">
        <v>52</v>
      </c>
      <c r="J198" s="3" t="str">
        <f t="shared" si="15"/>
        <v>2019</v>
      </c>
      <c r="K198" s="3"/>
      <c r="L198" s="8" t="s">
        <v>1164</v>
      </c>
      <c r="M198" s="8" t="s">
        <v>1165</v>
      </c>
      <c r="N198" s="3"/>
      <c r="O198" s="2" t="s">
        <v>1166</v>
      </c>
      <c r="P198" t="s">
        <v>1167</v>
      </c>
      <c r="Q198" t="s">
        <v>1140</v>
      </c>
      <c r="R198" t="s">
        <v>1141</v>
      </c>
      <c r="S198" t="s">
        <v>1168</v>
      </c>
      <c r="T198" t="s">
        <v>43</v>
      </c>
      <c r="U198">
        <v>435637</v>
      </c>
      <c r="V198" t="str">
        <f t="shared" si="13"/>
        <v>10/25/2019</v>
      </c>
      <c r="W198" t="s">
        <v>44</v>
      </c>
      <c r="X198"/>
    </row>
    <row r="199" spans="1:24" s="17" customFormat="1" x14ac:dyDescent="0.25">
      <c r="A199" t="s">
        <v>24</v>
      </c>
      <c r="B199" s="17" t="s">
        <v>1007</v>
      </c>
      <c r="C199" s="17" t="s">
        <v>1169</v>
      </c>
      <c r="D199" s="17" t="s">
        <v>35</v>
      </c>
      <c r="E199" s="17" t="s">
        <v>26</v>
      </c>
      <c r="F199" s="17" t="s">
        <v>28</v>
      </c>
      <c r="G199" s="17" t="s">
        <v>1009</v>
      </c>
      <c r="H199" s="17" t="s">
        <v>280</v>
      </c>
      <c r="I199" s="18" t="s">
        <v>36</v>
      </c>
      <c r="J199" s="18" t="str">
        <f t="shared" si="15"/>
        <v>2019</v>
      </c>
      <c r="K199" s="18"/>
      <c r="L199" s="18" t="s">
        <v>37</v>
      </c>
      <c r="M199" s="18" t="s">
        <v>37</v>
      </c>
      <c r="N199" s="18"/>
      <c r="O199" s="19" t="s">
        <v>1170</v>
      </c>
      <c r="P199" s="17" t="s">
        <v>1171</v>
      </c>
      <c r="Q199" s="17" t="s">
        <v>1013</v>
      </c>
      <c r="R199" s="17" t="s">
        <v>1014</v>
      </c>
      <c r="S199" s="17" t="s">
        <v>1172</v>
      </c>
      <c r="T199" s="17" t="s">
        <v>43</v>
      </c>
      <c r="U199" s="17">
        <v>84523</v>
      </c>
      <c r="V199" s="17" t="str">
        <f t="shared" si="13"/>
        <v>09/26/2019</v>
      </c>
      <c r="W199" s="17" t="s">
        <v>44</v>
      </c>
      <c r="X199" s="17" t="s">
        <v>1173</v>
      </c>
    </row>
    <row r="200" spans="1:24" x14ac:dyDescent="0.25">
      <c r="A200" t="s">
        <v>24</v>
      </c>
      <c r="B200" t="s">
        <v>1007</v>
      </c>
      <c r="C200" t="s">
        <v>1174</v>
      </c>
      <c r="D200" t="s">
        <v>35</v>
      </c>
      <c r="E200" t="s">
        <v>26</v>
      </c>
      <c r="F200" t="s">
        <v>26</v>
      </c>
      <c r="G200" t="s">
        <v>37</v>
      </c>
      <c r="H200" t="s">
        <v>28</v>
      </c>
      <c r="I200" s="3" t="s">
        <v>36</v>
      </c>
      <c r="J200" s="3" t="str">
        <f t="shared" si="15"/>
        <v>2019</v>
      </c>
      <c r="K200" s="3"/>
      <c r="L200" s="3"/>
      <c r="M200" s="3"/>
      <c r="N200" s="3"/>
      <c r="O200" s="2" t="s">
        <v>1175</v>
      </c>
      <c r="P200" t="s">
        <v>1176</v>
      </c>
      <c r="Q200" t="s">
        <v>1013</v>
      </c>
      <c r="R200" t="s">
        <v>1014</v>
      </c>
      <c r="S200" t="s">
        <v>1177</v>
      </c>
      <c r="T200" t="s">
        <v>43</v>
      </c>
      <c r="U200">
        <v>84524</v>
      </c>
      <c r="V200" t="str">
        <f t="shared" ref="V200:V263" si="16">TEXT(DATEVALUE(LEFT(O200,10)), "mm/dd/yyyy")</f>
        <v>09/26/2019</v>
      </c>
      <c r="W200" t="s">
        <v>44</v>
      </c>
      <c r="X200" t="s">
        <v>1178</v>
      </c>
    </row>
    <row r="201" spans="1:24" s="17" customFormat="1" x14ac:dyDescent="0.25">
      <c r="A201" t="s">
        <v>24</v>
      </c>
      <c r="B201" s="17" t="s">
        <v>1007</v>
      </c>
      <c r="C201" s="17" t="s">
        <v>1179</v>
      </c>
      <c r="D201" s="17" t="s">
        <v>35</v>
      </c>
      <c r="E201" s="17" t="s">
        <v>26</v>
      </c>
      <c r="F201" s="17" t="s">
        <v>28</v>
      </c>
      <c r="G201" s="17" t="s">
        <v>1009</v>
      </c>
      <c r="H201" s="17" t="s">
        <v>280</v>
      </c>
      <c r="I201" s="18" t="s">
        <v>36</v>
      </c>
      <c r="J201" s="18" t="str">
        <f t="shared" si="15"/>
        <v>2019</v>
      </c>
      <c r="K201" s="18"/>
      <c r="L201" s="18" t="s">
        <v>37</v>
      </c>
      <c r="M201" s="18" t="s">
        <v>37</v>
      </c>
      <c r="N201" s="18"/>
      <c r="O201" s="19" t="s">
        <v>1180</v>
      </c>
      <c r="P201" s="17" t="s">
        <v>1181</v>
      </c>
      <c r="Q201" s="17" t="s">
        <v>1013</v>
      </c>
      <c r="R201" s="17" t="s">
        <v>1014</v>
      </c>
      <c r="S201" s="17" t="s">
        <v>1182</v>
      </c>
      <c r="T201" s="17" t="s">
        <v>43</v>
      </c>
      <c r="U201" s="17">
        <v>84525</v>
      </c>
      <c r="V201" s="17" t="str">
        <f t="shared" si="16"/>
        <v>09/26/2019</v>
      </c>
      <c r="W201" s="17" t="s">
        <v>44</v>
      </c>
    </row>
    <row r="202" spans="1:24" x14ac:dyDescent="0.25">
      <c r="A202" t="s">
        <v>24</v>
      </c>
      <c r="B202" t="s">
        <v>1007</v>
      </c>
      <c r="C202" t="s">
        <v>1183</v>
      </c>
      <c r="D202" t="s">
        <v>35</v>
      </c>
      <c r="E202" t="s">
        <v>26</v>
      </c>
      <c r="F202" t="s">
        <v>26</v>
      </c>
      <c r="G202" t="s">
        <v>37</v>
      </c>
      <c r="H202" t="s">
        <v>28</v>
      </c>
      <c r="I202" s="3" t="s">
        <v>36</v>
      </c>
      <c r="J202" s="3" t="str">
        <f t="shared" si="15"/>
        <v>2019</v>
      </c>
      <c r="K202" s="3"/>
      <c r="L202" s="3"/>
      <c r="M202" s="3"/>
      <c r="N202" s="3"/>
      <c r="O202" s="2" t="s">
        <v>1184</v>
      </c>
      <c r="P202" t="s">
        <v>1185</v>
      </c>
      <c r="Q202" t="s">
        <v>1013</v>
      </c>
      <c r="R202" t="s">
        <v>1014</v>
      </c>
      <c r="S202" t="s">
        <v>1186</v>
      </c>
      <c r="T202" t="s">
        <v>43</v>
      </c>
      <c r="U202">
        <v>84526</v>
      </c>
      <c r="V202" t="str">
        <f t="shared" si="16"/>
        <v>09/26/2019</v>
      </c>
      <c r="W202" t="s">
        <v>44</v>
      </c>
    </row>
    <row r="203" spans="1:24" x14ac:dyDescent="0.25">
      <c r="A203" t="s">
        <v>24</v>
      </c>
      <c r="B203" t="s">
        <v>1007</v>
      </c>
      <c r="C203" t="s">
        <v>1187</v>
      </c>
      <c r="D203" t="s">
        <v>35</v>
      </c>
      <c r="E203" t="s">
        <v>26</v>
      </c>
      <c r="F203" t="s">
        <v>26</v>
      </c>
      <c r="G203" t="s">
        <v>37</v>
      </c>
      <c r="H203" t="s">
        <v>28</v>
      </c>
      <c r="I203" s="3" t="s">
        <v>36</v>
      </c>
      <c r="J203" s="3" t="str">
        <f t="shared" si="15"/>
        <v>2019</v>
      </c>
      <c r="K203" s="3"/>
      <c r="L203" s="3"/>
      <c r="M203" s="3"/>
      <c r="N203" s="3"/>
      <c r="O203" s="2" t="s">
        <v>1188</v>
      </c>
      <c r="P203" t="s">
        <v>1189</v>
      </c>
      <c r="Q203" t="s">
        <v>1013</v>
      </c>
      <c r="R203" t="s">
        <v>1014</v>
      </c>
      <c r="S203" t="s">
        <v>1190</v>
      </c>
      <c r="T203" t="s">
        <v>43</v>
      </c>
      <c r="U203">
        <v>84527</v>
      </c>
      <c r="V203" t="str">
        <f t="shared" si="16"/>
        <v>09/26/2019</v>
      </c>
      <c r="W203" t="s">
        <v>44</v>
      </c>
      <c r="X203" t="s">
        <v>1191</v>
      </c>
    </row>
    <row r="204" spans="1:24" s="17" customFormat="1" x14ac:dyDescent="0.25">
      <c r="A204" t="s">
        <v>24</v>
      </c>
      <c r="B204" s="17" t="s">
        <v>1007</v>
      </c>
      <c r="C204" s="17" t="s">
        <v>1192</v>
      </c>
      <c r="D204" s="17" t="s">
        <v>35</v>
      </c>
      <c r="E204" s="17" t="s">
        <v>26</v>
      </c>
      <c r="F204" s="17" t="s">
        <v>28</v>
      </c>
      <c r="G204" s="17" t="s">
        <v>1009</v>
      </c>
      <c r="H204" s="17" t="s">
        <v>280</v>
      </c>
      <c r="I204" s="18" t="s">
        <v>36</v>
      </c>
      <c r="J204" s="18" t="str">
        <f t="shared" si="15"/>
        <v>2019</v>
      </c>
      <c r="K204" s="18"/>
      <c r="L204" s="18" t="s">
        <v>37</v>
      </c>
      <c r="M204" s="18" t="s">
        <v>37</v>
      </c>
      <c r="N204" s="18"/>
      <c r="O204" s="19" t="s">
        <v>1193</v>
      </c>
      <c r="P204" s="17" t="s">
        <v>1194</v>
      </c>
      <c r="Q204" s="17" t="s">
        <v>1013</v>
      </c>
      <c r="R204" s="17" t="s">
        <v>1014</v>
      </c>
      <c r="S204" s="17" t="s">
        <v>1195</v>
      </c>
      <c r="T204" s="17" t="s">
        <v>43</v>
      </c>
      <c r="U204" s="17">
        <v>84528</v>
      </c>
      <c r="V204" s="17" t="str">
        <f t="shared" si="16"/>
        <v>09/26/2019</v>
      </c>
      <c r="W204" s="17" t="s">
        <v>44</v>
      </c>
    </row>
    <row r="205" spans="1:24" x14ac:dyDescent="0.25">
      <c r="A205" t="s">
        <v>24</v>
      </c>
      <c r="B205" t="s">
        <v>1007</v>
      </c>
      <c r="C205" t="s">
        <v>1196</v>
      </c>
      <c r="D205" t="s">
        <v>35</v>
      </c>
      <c r="E205" t="s">
        <v>26</v>
      </c>
      <c r="F205" t="s">
        <v>26</v>
      </c>
      <c r="G205" t="s">
        <v>37</v>
      </c>
      <c r="H205" t="s">
        <v>28</v>
      </c>
      <c r="I205" s="3" t="s">
        <v>36</v>
      </c>
      <c r="J205" s="3" t="str">
        <f t="shared" si="15"/>
        <v>2019</v>
      </c>
      <c r="K205" s="3"/>
      <c r="L205" s="3"/>
      <c r="M205" s="3"/>
      <c r="N205" s="3"/>
      <c r="O205" s="2" t="s">
        <v>1197</v>
      </c>
      <c r="P205" t="s">
        <v>1198</v>
      </c>
      <c r="Q205" t="s">
        <v>1013</v>
      </c>
      <c r="R205" t="s">
        <v>1014</v>
      </c>
      <c r="S205" t="s">
        <v>1199</v>
      </c>
      <c r="T205" t="s">
        <v>43</v>
      </c>
      <c r="U205">
        <v>84529</v>
      </c>
      <c r="V205" t="str">
        <f t="shared" si="16"/>
        <v>09/26/2019</v>
      </c>
      <c r="W205" t="s">
        <v>44</v>
      </c>
      <c r="X205" t="s">
        <v>1200</v>
      </c>
    </row>
    <row r="206" spans="1:24" x14ac:dyDescent="0.25">
      <c r="A206" t="s">
        <v>24</v>
      </c>
      <c r="B206" t="s">
        <v>1007</v>
      </c>
      <c r="C206" t="s">
        <v>1201</v>
      </c>
      <c r="D206" t="s">
        <v>107</v>
      </c>
      <c r="E206" t="s">
        <v>26</v>
      </c>
      <c r="F206" t="s">
        <v>26</v>
      </c>
      <c r="G206" t="s">
        <v>37</v>
      </c>
      <c r="H206" t="s">
        <v>28</v>
      </c>
      <c r="I206" s="3" t="s">
        <v>1202</v>
      </c>
      <c r="J206" s="3" t="str">
        <f t="shared" si="15"/>
        <v>2019</v>
      </c>
      <c r="K206" s="3"/>
      <c r="L206" s="3"/>
      <c r="M206" s="3"/>
      <c r="N206" s="3"/>
      <c r="O206" s="2" t="s">
        <v>1203</v>
      </c>
      <c r="P206" t="s">
        <v>1204</v>
      </c>
      <c r="Q206" t="s">
        <v>1013</v>
      </c>
      <c r="R206" t="s">
        <v>1014</v>
      </c>
      <c r="S206" t="s">
        <v>1205</v>
      </c>
      <c r="T206" t="s">
        <v>43</v>
      </c>
      <c r="U206">
        <v>84576</v>
      </c>
      <c r="V206" t="str">
        <f t="shared" si="16"/>
        <v>10/15/2019</v>
      </c>
      <c r="W206" t="s">
        <v>44</v>
      </c>
    </row>
    <row r="207" spans="1:24" s="17" customFormat="1" x14ac:dyDescent="0.25">
      <c r="A207" t="s">
        <v>24</v>
      </c>
      <c r="B207" s="17" t="s">
        <v>1007</v>
      </c>
      <c r="C207" s="17" t="s">
        <v>1206</v>
      </c>
      <c r="D207" s="17" t="s">
        <v>35</v>
      </c>
      <c r="E207" s="17" t="s">
        <v>26</v>
      </c>
      <c r="F207" s="17" t="s">
        <v>28</v>
      </c>
      <c r="G207" s="17" t="s">
        <v>1009</v>
      </c>
      <c r="H207" s="17" t="s">
        <v>280</v>
      </c>
      <c r="I207" s="18" t="s">
        <v>1207</v>
      </c>
      <c r="J207" s="18" t="str">
        <f t="shared" si="15"/>
        <v>2019</v>
      </c>
      <c r="K207" s="18"/>
      <c r="L207" s="18" t="s">
        <v>37</v>
      </c>
      <c r="M207" s="18" t="s">
        <v>37</v>
      </c>
      <c r="N207" s="18"/>
      <c r="O207" s="19" t="s">
        <v>1208</v>
      </c>
      <c r="P207" s="17" t="s">
        <v>1209</v>
      </c>
      <c r="Q207" s="17" t="s">
        <v>1013</v>
      </c>
      <c r="R207" s="17" t="s">
        <v>1014</v>
      </c>
      <c r="S207" s="17" t="s">
        <v>1210</v>
      </c>
      <c r="T207" s="17" t="s">
        <v>43</v>
      </c>
      <c r="U207" s="17">
        <v>84550</v>
      </c>
      <c r="V207" s="17" t="str">
        <f t="shared" si="16"/>
        <v>10/04/2019</v>
      </c>
      <c r="W207" s="17" t="s">
        <v>44</v>
      </c>
      <c r="X207" s="17" t="s">
        <v>1211</v>
      </c>
    </row>
    <row r="208" spans="1:24" s="17" customFormat="1" x14ac:dyDescent="0.25">
      <c r="A208" t="s">
        <v>24</v>
      </c>
      <c r="B208" s="17" t="s">
        <v>1007</v>
      </c>
      <c r="C208" s="17" t="s">
        <v>1212</v>
      </c>
      <c r="D208" s="17" t="s">
        <v>35</v>
      </c>
      <c r="E208" s="17" t="s">
        <v>26</v>
      </c>
      <c r="F208" s="17" t="s">
        <v>28</v>
      </c>
      <c r="G208" s="17" t="s">
        <v>1009</v>
      </c>
      <c r="H208" s="17" t="s">
        <v>280</v>
      </c>
      <c r="I208" s="18" t="s">
        <v>36</v>
      </c>
      <c r="J208" s="18" t="str">
        <f t="shared" si="15"/>
        <v>2019</v>
      </c>
      <c r="K208" s="18"/>
      <c r="L208" s="18" t="s">
        <v>37</v>
      </c>
      <c r="M208" s="18" t="s">
        <v>37</v>
      </c>
      <c r="N208" s="18"/>
      <c r="O208" s="19" t="s">
        <v>1213</v>
      </c>
      <c r="P208" s="17" t="s">
        <v>1214</v>
      </c>
      <c r="Q208" s="17" t="s">
        <v>1013</v>
      </c>
      <c r="R208" s="17" t="s">
        <v>1014</v>
      </c>
      <c r="S208" s="17" t="s">
        <v>1215</v>
      </c>
      <c r="T208" s="17" t="s">
        <v>43</v>
      </c>
      <c r="U208" s="17">
        <v>84532</v>
      </c>
      <c r="V208" s="17" t="str">
        <f t="shared" si="16"/>
        <v>09/26/2019</v>
      </c>
      <c r="W208" s="17" t="s">
        <v>44</v>
      </c>
    </row>
    <row r="209" spans="1:24" s="17" customFormat="1" x14ac:dyDescent="0.25">
      <c r="A209" t="s">
        <v>24</v>
      </c>
      <c r="B209" s="17" t="s">
        <v>1007</v>
      </c>
      <c r="C209" s="17" t="s">
        <v>1216</v>
      </c>
      <c r="D209" s="17" t="s">
        <v>35</v>
      </c>
      <c r="E209" s="17" t="s">
        <v>26</v>
      </c>
      <c r="F209" s="17" t="s">
        <v>28</v>
      </c>
      <c r="G209" s="17" t="s">
        <v>1009</v>
      </c>
      <c r="H209" s="17" t="s">
        <v>280</v>
      </c>
      <c r="I209" s="18" t="s">
        <v>36</v>
      </c>
      <c r="J209" s="18" t="str">
        <f t="shared" si="15"/>
        <v>2019</v>
      </c>
      <c r="K209" s="18"/>
      <c r="L209" s="18" t="s">
        <v>37</v>
      </c>
      <c r="M209" s="18" t="s">
        <v>37</v>
      </c>
      <c r="N209" s="18"/>
      <c r="O209" s="19" t="s">
        <v>1217</v>
      </c>
      <c r="P209" s="17" t="s">
        <v>1218</v>
      </c>
      <c r="Q209" s="17" t="s">
        <v>1013</v>
      </c>
      <c r="R209" s="17" t="s">
        <v>1014</v>
      </c>
      <c r="S209" s="17" t="s">
        <v>1219</v>
      </c>
      <c r="T209" s="17" t="s">
        <v>43</v>
      </c>
      <c r="U209" s="17">
        <v>84533</v>
      </c>
      <c r="V209" s="17" t="str">
        <f t="shared" si="16"/>
        <v>09/26/2019</v>
      </c>
      <c r="W209" s="17" t="s">
        <v>44</v>
      </c>
      <c r="X209" s="17" t="s">
        <v>1220</v>
      </c>
    </row>
    <row r="210" spans="1:24" x14ac:dyDescent="0.25">
      <c r="A210" t="s">
        <v>24</v>
      </c>
      <c r="B210" t="s">
        <v>1007</v>
      </c>
      <c r="C210" t="s">
        <v>1221</v>
      </c>
      <c r="D210" t="s">
        <v>107</v>
      </c>
      <c r="E210" t="s">
        <v>26</v>
      </c>
      <c r="F210" t="s">
        <v>26</v>
      </c>
      <c r="G210" t="s">
        <v>37</v>
      </c>
      <c r="H210" t="s">
        <v>28</v>
      </c>
      <c r="I210" s="3" t="s">
        <v>1222</v>
      </c>
      <c r="J210" s="3" t="str">
        <f t="shared" si="15"/>
        <v>2019</v>
      </c>
      <c r="K210" s="3"/>
      <c r="L210" s="3"/>
      <c r="M210" s="3"/>
      <c r="N210" s="3"/>
      <c r="O210" s="2" t="s">
        <v>1223</v>
      </c>
      <c r="P210" t="s">
        <v>1224</v>
      </c>
      <c r="Q210" t="s">
        <v>1013</v>
      </c>
      <c r="R210" t="s">
        <v>1014</v>
      </c>
      <c r="S210" t="s">
        <v>1225</v>
      </c>
      <c r="T210" t="s">
        <v>43</v>
      </c>
      <c r="U210">
        <v>84608</v>
      </c>
      <c r="V210" t="str">
        <f t="shared" si="16"/>
        <v>11/04/2019</v>
      </c>
      <c r="W210" t="s">
        <v>44</v>
      </c>
      <c r="X210" t="s">
        <v>1226</v>
      </c>
    </row>
    <row r="211" spans="1:24" s="17" customFormat="1" hidden="1" x14ac:dyDescent="0.25">
      <c r="A211" t="s">
        <v>24</v>
      </c>
      <c r="B211" t="s">
        <v>1134</v>
      </c>
      <c r="C211" t="s">
        <v>69</v>
      </c>
      <c r="D211" t="s">
        <v>35</v>
      </c>
      <c r="E211" t="s">
        <v>28</v>
      </c>
      <c r="F211" t="s">
        <v>28</v>
      </c>
      <c r="G211"/>
      <c r="H211"/>
      <c r="I211" s="3" t="s">
        <v>52</v>
      </c>
      <c r="J211" s="3" t="str">
        <f t="shared" si="15"/>
        <v>2019</v>
      </c>
      <c r="K211" s="3"/>
      <c r="L211" s="8" t="s">
        <v>1227</v>
      </c>
      <c r="M211" s="8" t="s">
        <v>1228</v>
      </c>
      <c r="N211" s="3"/>
      <c r="O211" s="2" t="s">
        <v>1229</v>
      </c>
      <c r="P211" t="s">
        <v>1230</v>
      </c>
      <c r="Q211" t="s">
        <v>1140</v>
      </c>
      <c r="R211" t="s">
        <v>1141</v>
      </c>
      <c r="S211" t="s">
        <v>1231</v>
      </c>
      <c r="T211" t="s">
        <v>43</v>
      </c>
      <c r="U211">
        <v>435641</v>
      </c>
      <c r="V211" t="str">
        <f t="shared" si="16"/>
        <v>10/25/2019</v>
      </c>
      <c r="W211" t="s">
        <v>44</v>
      </c>
      <c r="X211"/>
    </row>
    <row r="212" spans="1:24" x14ac:dyDescent="0.25">
      <c r="A212" t="s">
        <v>24</v>
      </c>
      <c r="B212" t="s">
        <v>1007</v>
      </c>
      <c r="C212" t="s">
        <v>1232</v>
      </c>
      <c r="D212" t="s">
        <v>35</v>
      </c>
      <c r="E212" t="s">
        <v>26</v>
      </c>
      <c r="F212" t="s">
        <v>26</v>
      </c>
      <c r="G212" t="s">
        <v>37</v>
      </c>
      <c r="H212" t="s">
        <v>28</v>
      </c>
      <c r="I212" s="3" t="s">
        <v>36</v>
      </c>
      <c r="J212" s="3" t="str">
        <f t="shared" si="15"/>
        <v>2019</v>
      </c>
      <c r="K212" s="3"/>
      <c r="L212" s="3"/>
      <c r="M212" s="3"/>
      <c r="N212" s="3"/>
      <c r="O212" s="2" t="s">
        <v>1233</v>
      </c>
      <c r="P212" t="s">
        <v>1234</v>
      </c>
      <c r="Q212" t="s">
        <v>1013</v>
      </c>
      <c r="R212" t="s">
        <v>1014</v>
      </c>
      <c r="S212" t="s">
        <v>1235</v>
      </c>
      <c r="T212" t="s">
        <v>43</v>
      </c>
      <c r="U212">
        <v>84537</v>
      </c>
      <c r="V212" t="str">
        <f t="shared" si="16"/>
        <v>09/26/2019</v>
      </c>
      <c r="W212" t="s">
        <v>44</v>
      </c>
    </row>
    <row r="213" spans="1:24" x14ac:dyDescent="0.25">
      <c r="A213" t="s">
        <v>24</v>
      </c>
      <c r="B213" t="s">
        <v>1007</v>
      </c>
      <c r="C213" t="s">
        <v>1236</v>
      </c>
      <c r="D213" t="s">
        <v>107</v>
      </c>
      <c r="E213" t="s">
        <v>26</v>
      </c>
      <c r="F213" t="s">
        <v>26</v>
      </c>
      <c r="G213" t="s">
        <v>37</v>
      </c>
      <c r="H213" t="s">
        <v>28</v>
      </c>
      <c r="I213" s="3" t="s">
        <v>36</v>
      </c>
      <c r="J213" s="3" t="str">
        <f t="shared" si="15"/>
        <v>2019</v>
      </c>
      <c r="K213" s="3"/>
      <c r="L213" s="3"/>
      <c r="M213" s="3"/>
      <c r="N213" s="3"/>
      <c r="O213" s="2" t="s">
        <v>1237</v>
      </c>
      <c r="P213" t="s">
        <v>1238</v>
      </c>
      <c r="Q213" t="s">
        <v>1013</v>
      </c>
      <c r="R213" t="s">
        <v>1014</v>
      </c>
      <c r="S213" t="s">
        <v>1239</v>
      </c>
      <c r="T213" t="s">
        <v>43</v>
      </c>
      <c r="U213">
        <v>84538</v>
      </c>
      <c r="V213" t="str">
        <f t="shared" si="16"/>
        <v>09/26/2019</v>
      </c>
      <c r="W213" t="s">
        <v>44</v>
      </c>
    </row>
    <row r="214" spans="1:24" s="17" customFormat="1" x14ac:dyDescent="0.25">
      <c r="A214" t="s">
        <v>24</v>
      </c>
      <c r="B214" s="17" t="s">
        <v>1007</v>
      </c>
      <c r="C214" s="17" t="s">
        <v>1240</v>
      </c>
      <c r="D214" s="17" t="s">
        <v>35</v>
      </c>
      <c r="E214" s="17" t="s">
        <v>26</v>
      </c>
      <c r="F214" s="17" t="s">
        <v>28</v>
      </c>
      <c r="G214" s="17" t="s">
        <v>1009</v>
      </c>
      <c r="H214" s="17" t="s">
        <v>280</v>
      </c>
      <c r="I214" s="18" t="s">
        <v>36</v>
      </c>
      <c r="J214" s="18" t="str">
        <f t="shared" si="15"/>
        <v>2019</v>
      </c>
      <c r="K214" s="18"/>
      <c r="L214" s="18" t="s">
        <v>37</v>
      </c>
      <c r="M214" s="18" t="s">
        <v>37</v>
      </c>
      <c r="N214" s="18"/>
      <c r="O214" s="19" t="s">
        <v>1241</v>
      </c>
      <c r="P214" s="17" t="s">
        <v>1242</v>
      </c>
      <c r="Q214" s="17" t="s">
        <v>1013</v>
      </c>
      <c r="R214" s="17" t="s">
        <v>1014</v>
      </c>
      <c r="S214" s="17" t="s">
        <v>1243</v>
      </c>
      <c r="T214" s="17" t="s">
        <v>43</v>
      </c>
      <c r="U214" s="17">
        <v>84539</v>
      </c>
      <c r="V214" s="17" t="str">
        <f t="shared" si="16"/>
        <v>09/26/2019</v>
      </c>
      <c r="W214" s="17" t="s">
        <v>44</v>
      </c>
      <c r="X214" s="17" t="s">
        <v>1244</v>
      </c>
    </row>
    <row r="215" spans="1:24" s="17" customFormat="1" x14ac:dyDescent="0.25">
      <c r="A215" t="s">
        <v>24</v>
      </c>
      <c r="B215" s="17" t="s">
        <v>1007</v>
      </c>
      <c r="C215" s="17" t="s">
        <v>1245</v>
      </c>
      <c r="D215" s="17" t="s">
        <v>35</v>
      </c>
      <c r="E215" s="17" t="s">
        <v>26</v>
      </c>
      <c r="F215" s="17" t="s">
        <v>28</v>
      </c>
      <c r="G215" s="17" t="s">
        <v>1009</v>
      </c>
      <c r="H215" s="17" t="s">
        <v>280</v>
      </c>
      <c r="I215" s="18" t="s">
        <v>36</v>
      </c>
      <c r="J215" s="18" t="str">
        <f t="shared" si="15"/>
        <v>2019</v>
      </c>
      <c r="K215" s="18"/>
      <c r="L215" s="18" t="s">
        <v>37</v>
      </c>
      <c r="M215" s="18" t="s">
        <v>37</v>
      </c>
      <c r="N215" s="18"/>
      <c r="O215" s="19" t="s">
        <v>1246</v>
      </c>
      <c r="P215" s="17" t="s">
        <v>1247</v>
      </c>
      <c r="Q215" s="17" t="s">
        <v>1013</v>
      </c>
      <c r="R215" s="17" t="s">
        <v>1014</v>
      </c>
      <c r="S215" s="17" t="s">
        <v>1248</v>
      </c>
      <c r="T215" s="17" t="s">
        <v>43</v>
      </c>
      <c r="U215" s="17">
        <v>84540</v>
      </c>
      <c r="V215" s="17" t="str">
        <f t="shared" si="16"/>
        <v>09/26/2019</v>
      </c>
      <c r="W215" s="17" t="s">
        <v>44</v>
      </c>
      <c r="X215" s="17" t="s">
        <v>1249</v>
      </c>
    </row>
    <row r="216" spans="1:24" x14ac:dyDescent="0.25">
      <c r="A216" t="s">
        <v>24</v>
      </c>
      <c r="B216" t="s">
        <v>1007</v>
      </c>
      <c r="C216" t="s">
        <v>1250</v>
      </c>
      <c r="D216" t="s">
        <v>35</v>
      </c>
      <c r="E216" t="s">
        <v>26</v>
      </c>
      <c r="F216" t="s">
        <v>26</v>
      </c>
      <c r="G216" t="s">
        <v>37</v>
      </c>
      <c r="H216" t="s">
        <v>28</v>
      </c>
      <c r="I216" s="3" t="s">
        <v>36</v>
      </c>
      <c r="J216" s="3" t="str">
        <f t="shared" si="15"/>
        <v>2019</v>
      </c>
      <c r="K216" s="3"/>
      <c r="L216" s="3"/>
      <c r="M216" s="3"/>
      <c r="N216" s="3"/>
      <c r="O216" s="2" t="s">
        <v>1251</v>
      </c>
      <c r="P216" t="s">
        <v>1252</v>
      </c>
      <c r="Q216" t="s">
        <v>1013</v>
      </c>
      <c r="R216" t="s">
        <v>1014</v>
      </c>
      <c r="S216" t="s">
        <v>1253</v>
      </c>
      <c r="T216" t="s">
        <v>43</v>
      </c>
      <c r="U216">
        <v>84541</v>
      </c>
      <c r="V216" t="str">
        <f t="shared" si="16"/>
        <v>09/26/2019</v>
      </c>
      <c r="W216" t="s">
        <v>44</v>
      </c>
      <c r="X216" t="s">
        <v>1254</v>
      </c>
    </row>
    <row r="217" spans="1:24" s="17" customFormat="1" ht="108" hidden="1" customHeight="1" x14ac:dyDescent="0.25">
      <c r="A217" t="s">
        <v>24</v>
      </c>
      <c r="B217" t="s">
        <v>1134</v>
      </c>
      <c r="C217" t="s">
        <v>175</v>
      </c>
      <c r="D217" t="s">
        <v>35</v>
      </c>
      <c r="E217" t="s">
        <v>28</v>
      </c>
      <c r="F217" t="s">
        <v>28</v>
      </c>
      <c r="G217"/>
      <c r="H217"/>
      <c r="I217" s="3" t="s">
        <v>52</v>
      </c>
      <c r="J217" s="3" t="str">
        <f t="shared" si="15"/>
        <v>2019</v>
      </c>
      <c r="K217" s="3" t="s">
        <v>87</v>
      </c>
      <c r="L217" s="8" t="s">
        <v>1255</v>
      </c>
      <c r="M217" s="8" t="s">
        <v>1256</v>
      </c>
      <c r="N217" s="27" t="s">
        <v>1257</v>
      </c>
      <c r="O217" s="2" t="s">
        <v>1258</v>
      </c>
      <c r="P217" t="s">
        <v>1259</v>
      </c>
      <c r="Q217" t="s">
        <v>1140</v>
      </c>
      <c r="R217" t="s">
        <v>1141</v>
      </c>
      <c r="S217" t="s">
        <v>1260</v>
      </c>
      <c r="T217" t="s">
        <v>43</v>
      </c>
      <c r="U217">
        <v>435648</v>
      </c>
      <c r="V217" t="str">
        <f t="shared" si="16"/>
        <v>10/25/2019</v>
      </c>
      <c r="W217" t="s">
        <v>44</v>
      </c>
      <c r="X217"/>
    </row>
    <row r="218" spans="1:24" s="17" customFormat="1" x14ac:dyDescent="0.25">
      <c r="A218" t="s">
        <v>24</v>
      </c>
      <c r="B218" s="17" t="s">
        <v>1007</v>
      </c>
      <c r="C218" s="17" t="s">
        <v>1261</v>
      </c>
      <c r="D218" s="17" t="s">
        <v>35</v>
      </c>
      <c r="E218" s="17" t="s">
        <v>26</v>
      </c>
      <c r="F218" s="17" t="s">
        <v>28</v>
      </c>
      <c r="G218" s="17" t="s">
        <v>1009</v>
      </c>
      <c r="H218" s="17" t="s">
        <v>280</v>
      </c>
      <c r="I218" s="18" t="s">
        <v>36</v>
      </c>
      <c r="J218" s="18" t="str">
        <f t="shared" si="15"/>
        <v>2019</v>
      </c>
      <c r="K218" s="18"/>
      <c r="L218" s="18" t="s">
        <v>37</v>
      </c>
      <c r="M218" s="18" t="s">
        <v>37</v>
      </c>
      <c r="N218" s="18"/>
      <c r="O218" s="19" t="s">
        <v>1262</v>
      </c>
      <c r="P218" s="17" t="s">
        <v>1263</v>
      </c>
      <c r="Q218" s="17" t="s">
        <v>1013</v>
      </c>
      <c r="R218" s="17" t="s">
        <v>1014</v>
      </c>
      <c r="S218" s="17" t="s">
        <v>1264</v>
      </c>
      <c r="T218" s="17" t="s">
        <v>43</v>
      </c>
      <c r="U218" s="17">
        <v>84542</v>
      </c>
      <c r="V218" s="17" t="str">
        <f t="shared" si="16"/>
        <v>09/26/2019</v>
      </c>
      <c r="W218" s="17" t="s">
        <v>44</v>
      </c>
      <c r="X218" s="17" t="s">
        <v>1265</v>
      </c>
    </row>
    <row r="219" spans="1:24" s="17" customFormat="1" x14ac:dyDescent="0.25">
      <c r="A219" t="s">
        <v>24</v>
      </c>
      <c r="B219" s="17" t="s">
        <v>1007</v>
      </c>
      <c r="C219" s="17" t="s">
        <v>1266</v>
      </c>
      <c r="D219" s="17" t="s">
        <v>35</v>
      </c>
      <c r="E219" s="17" t="s">
        <v>26</v>
      </c>
      <c r="F219" s="17" t="s">
        <v>28</v>
      </c>
      <c r="G219" s="17" t="s">
        <v>1009</v>
      </c>
      <c r="H219" s="17" t="s">
        <v>280</v>
      </c>
      <c r="I219" s="18" t="s">
        <v>1267</v>
      </c>
      <c r="J219" s="18" t="str">
        <f t="shared" si="15"/>
        <v>2019</v>
      </c>
      <c r="K219" s="18"/>
      <c r="L219" s="18" t="s">
        <v>37</v>
      </c>
      <c r="M219" s="18" t="s">
        <v>37</v>
      </c>
      <c r="N219" s="18"/>
      <c r="O219" s="19" t="s">
        <v>1268</v>
      </c>
      <c r="P219" s="17" t="s">
        <v>1269</v>
      </c>
      <c r="Q219" s="17" t="s">
        <v>1013</v>
      </c>
      <c r="R219" s="17" t="s">
        <v>1014</v>
      </c>
      <c r="S219" s="17" t="s">
        <v>1270</v>
      </c>
      <c r="T219" s="17" t="s">
        <v>43</v>
      </c>
      <c r="U219" s="17">
        <v>84558</v>
      </c>
      <c r="V219" s="17" t="str">
        <f t="shared" si="16"/>
        <v>10/10/2019</v>
      </c>
      <c r="W219" s="17" t="s">
        <v>44</v>
      </c>
    </row>
    <row r="220" spans="1:24" x14ac:dyDescent="0.25">
      <c r="A220" t="s">
        <v>24</v>
      </c>
      <c r="B220" s="7" t="s">
        <v>1134</v>
      </c>
      <c r="C220" s="7" t="s">
        <v>113</v>
      </c>
      <c r="D220" t="s">
        <v>107</v>
      </c>
      <c r="E220" t="s">
        <v>26</v>
      </c>
      <c r="F220" t="s">
        <v>26</v>
      </c>
      <c r="G220" t="s">
        <v>27</v>
      </c>
      <c r="H220" t="s">
        <v>28</v>
      </c>
      <c r="I220" s="3" t="s">
        <v>1271</v>
      </c>
      <c r="J220" s="3" t="str">
        <f t="shared" si="15"/>
        <v>2025</v>
      </c>
      <c r="K220" s="3"/>
      <c r="L220" s="3"/>
      <c r="M220" s="3"/>
      <c r="N220" s="3"/>
      <c r="O220" s="2" t="s">
        <v>1272</v>
      </c>
      <c r="P220" t="s">
        <v>1273</v>
      </c>
      <c r="Q220" t="s">
        <v>1140</v>
      </c>
      <c r="R220" t="s">
        <v>1141</v>
      </c>
      <c r="S220" t="s">
        <v>1274</v>
      </c>
      <c r="T220" t="s">
        <v>43</v>
      </c>
      <c r="U220">
        <v>435705</v>
      </c>
      <c r="V220" t="str">
        <f t="shared" si="16"/>
        <v>02/17/2025</v>
      </c>
      <c r="W220" t="s">
        <v>44</v>
      </c>
    </row>
    <row r="221" spans="1:24" ht="117.75" hidden="1" customHeight="1" x14ac:dyDescent="0.25">
      <c r="A221" t="s">
        <v>24</v>
      </c>
      <c r="B221" t="s">
        <v>1134</v>
      </c>
      <c r="C221" t="s">
        <v>226</v>
      </c>
      <c r="D221" t="s">
        <v>35</v>
      </c>
      <c r="E221" t="s">
        <v>28</v>
      </c>
      <c r="F221" t="s">
        <v>28</v>
      </c>
      <c r="G221" t="s">
        <v>27</v>
      </c>
      <c r="I221" s="3" t="s">
        <v>52</v>
      </c>
      <c r="J221" s="3" t="str">
        <f t="shared" si="15"/>
        <v>2019</v>
      </c>
      <c r="K221" s="3" t="s">
        <v>1275</v>
      </c>
      <c r="L221" s="8" t="s">
        <v>1276</v>
      </c>
      <c r="M221" s="8" t="s">
        <v>1277</v>
      </c>
      <c r="N221" s="27" t="s">
        <v>1278</v>
      </c>
      <c r="O221" s="2" t="s">
        <v>1279</v>
      </c>
      <c r="P221" t="s">
        <v>1280</v>
      </c>
      <c r="Q221" t="s">
        <v>1140</v>
      </c>
      <c r="R221" t="s">
        <v>1141</v>
      </c>
      <c r="S221" t="s">
        <v>1281</v>
      </c>
      <c r="T221" t="s">
        <v>43</v>
      </c>
      <c r="U221">
        <v>435653</v>
      </c>
      <c r="V221" t="str">
        <f t="shared" si="16"/>
        <v>10/25/2019</v>
      </c>
      <c r="W221" t="s">
        <v>44</v>
      </c>
    </row>
    <row r="222" spans="1:24" ht="45" hidden="1" x14ac:dyDescent="0.25">
      <c r="A222" t="s">
        <v>24</v>
      </c>
      <c r="B222" t="s">
        <v>1134</v>
      </c>
      <c r="C222" t="s">
        <v>162</v>
      </c>
      <c r="D222" t="s">
        <v>35</v>
      </c>
      <c r="E222" t="s">
        <v>28</v>
      </c>
      <c r="F222" t="s">
        <v>28</v>
      </c>
      <c r="I222" s="3" t="s">
        <v>1282</v>
      </c>
      <c r="J222" s="3" t="str">
        <f t="shared" si="15"/>
        <v>2020</v>
      </c>
      <c r="K222" s="3" t="s">
        <v>1283</v>
      </c>
      <c r="L222" s="8" t="s">
        <v>1284</v>
      </c>
      <c r="M222" s="8" t="s">
        <v>1285</v>
      </c>
      <c r="N222" s="27" t="s">
        <v>1286</v>
      </c>
      <c r="O222" s="2" t="s">
        <v>1287</v>
      </c>
      <c r="P222" t="s">
        <v>1288</v>
      </c>
      <c r="Q222" t="s">
        <v>1140</v>
      </c>
      <c r="R222" t="s">
        <v>1141</v>
      </c>
      <c r="S222" t="s">
        <v>1289</v>
      </c>
      <c r="T222" t="s">
        <v>43</v>
      </c>
      <c r="U222">
        <v>435658</v>
      </c>
      <c r="V222" t="str">
        <f t="shared" si="16"/>
        <v>03/11/2020</v>
      </c>
      <c r="W222" t="s">
        <v>44</v>
      </c>
    </row>
    <row r="223" spans="1:24" hidden="1" x14ac:dyDescent="0.25">
      <c r="A223" t="s">
        <v>24</v>
      </c>
      <c r="B223" t="s">
        <v>1134</v>
      </c>
      <c r="C223" t="s">
        <v>77</v>
      </c>
      <c r="D223" t="s">
        <v>35</v>
      </c>
      <c r="E223" t="s">
        <v>28</v>
      </c>
      <c r="F223" t="s">
        <v>28</v>
      </c>
      <c r="I223" s="3" t="s">
        <v>1290</v>
      </c>
      <c r="J223" s="3" t="str">
        <f t="shared" si="15"/>
        <v>2022</v>
      </c>
      <c r="K223" s="3"/>
      <c r="L223" s="8" t="s">
        <v>1291</v>
      </c>
      <c r="M223" s="1" t="s">
        <v>1292</v>
      </c>
      <c r="N223" s="3"/>
      <c r="O223" s="2" t="s">
        <v>1293</v>
      </c>
      <c r="P223" t="s">
        <v>1294</v>
      </c>
      <c r="Q223" t="s">
        <v>1140</v>
      </c>
      <c r="R223" t="s">
        <v>1141</v>
      </c>
      <c r="S223" t="s">
        <v>1295</v>
      </c>
      <c r="T223" t="s">
        <v>43</v>
      </c>
      <c r="U223">
        <v>435669</v>
      </c>
      <c r="V223" t="str">
        <f t="shared" si="16"/>
        <v>07/15/2022</v>
      </c>
      <c r="W223" t="s">
        <v>44</v>
      </c>
    </row>
    <row r="224" spans="1:24" hidden="1" x14ac:dyDescent="0.25">
      <c r="A224" t="s">
        <v>24</v>
      </c>
      <c r="B224" s="7" t="s">
        <v>1134</v>
      </c>
      <c r="C224" s="7" t="s">
        <v>273</v>
      </c>
      <c r="D224" s="7" t="s">
        <v>35</v>
      </c>
      <c r="E224" s="7" t="s">
        <v>28</v>
      </c>
      <c r="F224" s="7" t="s">
        <v>28</v>
      </c>
      <c r="G224" s="7"/>
      <c r="H224" s="7"/>
      <c r="I224" s="13" t="s">
        <v>52</v>
      </c>
      <c r="J224" s="13" t="str">
        <f t="shared" si="15"/>
        <v>2019</v>
      </c>
      <c r="K224" s="13"/>
      <c r="L224" s="13"/>
      <c r="M224" s="13" t="s">
        <v>37</v>
      </c>
      <c r="N224" s="13"/>
      <c r="O224" s="14" t="s">
        <v>1296</v>
      </c>
      <c r="P224" s="7" t="s">
        <v>1297</v>
      </c>
      <c r="Q224" s="7" t="s">
        <v>1140</v>
      </c>
      <c r="R224" s="7" t="s">
        <v>1141</v>
      </c>
      <c r="S224" s="7" t="s">
        <v>1298</v>
      </c>
      <c r="T224" s="7" t="s">
        <v>43</v>
      </c>
      <c r="U224" s="7">
        <v>435646</v>
      </c>
      <c r="V224" s="7" t="str">
        <f t="shared" si="16"/>
        <v>10/25/2019</v>
      </c>
      <c r="W224" s="7" t="s">
        <v>44</v>
      </c>
      <c r="X224" s="7"/>
    </row>
    <row r="225" spans="1:24" x14ac:dyDescent="0.25">
      <c r="A225" t="s">
        <v>24</v>
      </c>
      <c r="B225" s="17" t="s">
        <v>1299</v>
      </c>
      <c r="C225" s="17" t="s">
        <v>1300</v>
      </c>
      <c r="D225" s="17" t="s">
        <v>35</v>
      </c>
      <c r="E225" s="17" t="s">
        <v>26</v>
      </c>
      <c r="F225" s="17" t="s">
        <v>28</v>
      </c>
      <c r="G225" s="17" t="s">
        <v>1301</v>
      </c>
      <c r="H225" s="18" t="s">
        <v>280</v>
      </c>
      <c r="I225" s="18" t="s">
        <v>36</v>
      </c>
      <c r="J225" s="18" t="str">
        <f t="shared" si="15"/>
        <v>2019</v>
      </c>
      <c r="K225" s="18"/>
      <c r="L225" s="18" t="s">
        <v>37</v>
      </c>
      <c r="M225" s="18" t="s">
        <v>1302</v>
      </c>
      <c r="N225" s="19"/>
      <c r="O225" s="17" t="s">
        <v>1303</v>
      </c>
      <c r="P225" s="17" t="s">
        <v>1304</v>
      </c>
      <c r="Q225" s="17" t="s">
        <v>1305</v>
      </c>
      <c r="R225" s="17" t="s">
        <v>1306</v>
      </c>
      <c r="S225" s="17" t="s">
        <v>1307</v>
      </c>
      <c r="T225" s="17" t="s">
        <v>43</v>
      </c>
      <c r="U225" s="17">
        <v>3399648</v>
      </c>
      <c r="V225" s="17" t="str">
        <f t="shared" si="16"/>
        <v>09/26/2019</v>
      </c>
      <c r="W225" s="17" t="s">
        <v>44</v>
      </c>
      <c r="X225" s="17" t="s">
        <v>1308</v>
      </c>
    </row>
    <row r="226" spans="1:24" hidden="1" x14ac:dyDescent="0.25">
      <c r="A226" t="s">
        <v>24</v>
      </c>
      <c r="B226" s="7" t="s">
        <v>1134</v>
      </c>
      <c r="C226" s="7" t="s">
        <v>157</v>
      </c>
      <c r="D226" s="7" t="s">
        <v>35</v>
      </c>
      <c r="E226" s="7" t="s">
        <v>28</v>
      </c>
      <c r="F226" s="7" t="s">
        <v>28</v>
      </c>
      <c r="G226" s="7" t="s">
        <v>27</v>
      </c>
      <c r="H226" s="7"/>
      <c r="I226" s="13" t="s">
        <v>52</v>
      </c>
      <c r="J226" s="13" t="str">
        <f t="shared" si="15"/>
        <v>2019</v>
      </c>
      <c r="K226" s="13"/>
      <c r="L226" s="13"/>
      <c r="M226" s="13" t="s">
        <v>37</v>
      </c>
      <c r="N226" s="13"/>
      <c r="O226" s="14" t="s">
        <v>1309</v>
      </c>
      <c r="P226" s="7" t="s">
        <v>1310</v>
      </c>
      <c r="Q226" s="7" t="s">
        <v>1140</v>
      </c>
      <c r="R226" s="7" t="s">
        <v>1141</v>
      </c>
      <c r="S226" s="7" t="s">
        <v>1311</v>
      </c>
      <c r="T226" s="7" t="s">
        <v>43</v>
      </c>
      <c r="U226" s="7">
        <v>435651</v>
      </c>
      <c r="V226" s="7" t="str">
        <f t="shared" si="16"/>
        <v>10/25/2019</v>
      </c>
      <c r="W226" s="7" t="s">
        <v>44</v>
      </c>
      <c r="X226" s="7"/>
    </row>
    <row r="227" spans="1:24" x14ac:dyDescent="0.25">
      <c r="A227" t="s">
        <v>24</v>
      </c>
      <c r="B227" s="17" t="s">
        <v>1299</v>
      </c>
      <c r="C227" s="17" t="s">
        <v>1312</v>
      </c>
      <c r="D227" s="17" t="s">
        <v>35</v>
      </c>
      <c r="E227" s="17" t="s">
        <v>26</v>
      </c>
      <c r="F227" s="17" t="s">
        <v>28</v>
      </c>
      <c r="G227" s="17" t="s">
        <v>1301</v>
      </c>
      <c r="H227" s="18" t="s">
        <v>280</v>
      </c>
      <c r="I227" s="18" t="s">
        <v>36</v>
      </c>
      <c r="J227" s="18" t="str">
        <f t="shared" si="15"/>
        <v>2019</v>
      </c>
      <c r="K227" s="18"/>
      <c r="L227" s="18" t="s">
        <v>37</v>
      </c>
      <c r="M227" s="18" t="s">
        <v>1313</v>
      </c>
      <c r="N227" s="19"/>
      <c r="O227" s="17" t="s">
        <v>1314</v>
      </c>
      <c r="P227" s="17" t="s">
        <v>1315</v>
      </c>
      <c r="Q227" s="17" t="s">
        <v>1305</v>
      </c>
      <c r="R227" s="17" t="s">
        <v>1306</v>
      </c>
      <c r="S227" s="17" t="s">
        <v>1316</v>
      </c>
      <c r="T227" s="17" t="s">
        <v>43</v>
      </c>
      <c r="U227" s="17">
        <v>3399656</v>
      </c>
      <c r="V227" s="17" t="str">
        <f t="shared" si="16"/>
        <v>09/26/2019</v>
      </c>
      <c r="W227" s="17" t="s">
        <v>44</v>
      </c>
      <c r="X227" s="17"/>
    </row>
    <row r="228" spans="1:24" x14ac:dyDescent="0.25">
      <c r="A228" t="s">
        <v>24</v>
      </c>
      <c r="B228" t="s">
        <v>1134</v>
      </c>
      <c r="C228" t="s">
        <v>62</v>
      </c>
      <c r="D228" t="s">
        <v>35</v>
      </c>
      <c r="E228" t="s">
        <v>26</v>
      </c>
      <c r="F228" t="s">
        <v>26</v>
      </c>
      <c r="G228" t="s">
        <v>27</v>
      </c>
      <c r="H228" t="s">
        <v>28</v>
      </c>
      <c r="I228" s="3" t="s">
        <v>1317</v>
      </c>
      <c r="J228" s="3" t="str">
        <f t="shared" si="15"/>
        <v>2020</v>
      </c>
      <c r="K228" s="3"/>
      <c r="L228" s="3"/>
      <c r="M228" s="3"/>
      <c r="N228" s="3"/>
      <c r="O228" s="2" t="s">
        <v>1318</v>
      </c>
      <c r="P228" t="s">
        <v>1319</v>
      </c>
      <c r="Q228" t="s">
        <v>1140</v>
      </c>
      <c r="R228" t="s">
        <v>1141</v>
      </c>
      <c r="S228" t="s">
        <v>1320</v>
      </c>
      <c r="T228" t="s">
        <v>43</v>
      </c>
      <c r="U228">
        <v>435668</v>
      </c>
      <c r="V228" t="str">
        <f t="shared" si="16"/>
        <v>08/19/2020</v>
      </c>
      <c r="W228" t="s">
        <v>44</v>
      </c>
    </row>
    <row r="229" spans="1:24" x14ac:dyDescent="0.25">
      <c r="A229" t="s">
        <v>24</v>
      </c>
      <c r="B229" t="s">
        <v>1134</v>
      </c>
      <c r="C229" t="s">
        <v>253</v>
      </c>
      <c r="D229" t="s">
        <v>35</v>
      </c>
      <c r="E229" t="s">
        <v>26</v>
      </c>
      <c r="F229" t="s">
        <v>26</v>
      </c>
      <c r="G229" t="s">
        <v>27</v>
      </c>
      <c r="H229" t="s">
        <v>28</v>
      </c>
      <c r="I229" s="3" t="s">
        <v>52</v>
      </c>
      <c r="J229" s="3" t="str">
        <f t="shared" si="15"/>
        <v>2019</v>
      </c>
      <c r="K229" s="3"/>
      <c r="L229" s="3"/>
      <c r="M229" s="3"/>
      <c r="N229" s="3"/>
      <c r="O229" s="2" t="s">
        <v>1321</v>
      </c>
      <c r="P229" t="s">
        <v>1322</v>
      </c>
      <c r="Q229" t="s">
        <v>1140</v>
      </c>
      <c r="R229" t="s">
        <v>1141</v>
      </c>
      <c r="S229" t="s">
        <v>1323</v>
      </c>
      <c r="T229" t="s">
        <v>43</v>
      </c>
      <c r="U229">
        <v>435635</v>
      </c>
      <c r="V229" t="str">
        <f t="shared" si="16"/>
        <v>10/25/2019</v>
      </c>
      <c r="W229" t="s">
        <v>44</v>
      </c>
    </row>
    <row r="230" spans="1:24" x14ac:dyDescent="0.25">
      <c r="A230" t="s">
        <v>24</v>
      </c>
      <c r="B230" t="s">
        <v>1134</v>
      </c>
      <c r="C230" t="s">
        <v>268</v>
      </c>
      <c r="D230" t="s">
        <v>35</v>
      </c>
      <c r="E230" t="s">
        <v>26</v>
      </c>
      <c r="F230" t="s">
        <v>26</v>
      </c>
      <c r="G230" t="s">
        <v>27</v>
      </c>
      <c r="H230" t="s">
        <v>28</v>
      </c>
      <c r="I230" s="3" t="s">
        <v>52</v>
      </c>
      <c r="J230" s="3" t="str">
        <f t="shared" si="15"/>
        <v>2019</v>
      </c>
      <c r="K230" s="3"/>
      <c r="L230" s="3"/>
      <c r="M230" s="3"/>
      <c r="N230" s="3"/>
      <c r="O230" s="2" t="s">
        <v>1324</v>
      </c>
      <c r="P230" t="s">
        <v>1325</v>
      </c>
      <c r="Q230" t="s">
        <v>1140</v>
      </c>
      <c r="R230" t="s">
        <v>1141</v>
      </c>
      <c r="S230" t="s">
        <v>1326</v>
      </c>
      <c r="T230" t="s">
        <v>43</v>
      </c>
      <c r="U230">
        <v>435636</v>
      </c>
      <c r="V230" t="str">
        <f t="shared" si="16"/>
        <v>10/25/2019</v>
      </c>
      <c r="W230" t="s">
        <v>44</v>
      </c>
    </row>
    <row r="231" spans="1:24" x14ac:dyDescent="0.25">
      <c r="A231" t="s">
        <v>24</v>
      </c>
      <c r="B231" t="s">
        <v>1134</v>
      </c>
      <c r="C231" t="s">
        <v>181</v>
      </c>
      <c r="D231" t="s">
        <v>35</v>
      </c>
      <c r="E231" t="s">
        <v>26</v>
      </c>
      <c r="F231" t="s">
        <v>26</v>
      </c>
      <c r="G231" t="s">
        <v>27</v>
      </c>
      <c r="H231" t="s">
        <v>28</v>
      </c>
      <c r="I231" s="3" t="s">
        <v>52</v>
      </c>
      <c r="J231" s="3" t="str">
        <f t="shared" si="15"/>
        <v>2019</v>
      </c>
      <c r="K231" s="3"/>
      <c r="L231" s="3"/>
      <c r="M231" s="3"/>
      <c r="N231" s="3"/>
      <c r="O231" s="2" t="s">
        <v>1327</v>
      </c>
      <c r="P231" t="s">
        <v>1328</v>
      </c>
      <c r="Q231" t="s">
        <v>1140</v>
      </c>
      <c r="R231" t="s">
        <v>1141</v>
      </c>
      <c r="S231" t="s">
        <v>1329</v>
      </c>
      <c r="T231" t="s">
        <v>43</v>
      </c>
      <c r="U231">
        <v>435638</v>
      </c>
      <c r="V231" t="str">
        <f t="shared" si="16"/>
        <v>10/25/2019</v>
      </c>
      <c r="W231" t="s">
        <v>44</v>
      </c>
    </row>
    <row r="232" spans="1:24" x14ac:dyDescent="0.25">
      <c r="A232" t="s">
        <v>24</v>
      </c>
      <c r="B232" t="s">
        <v>1134</v>
      </c>
      <c r="C232" t="s">
        <v>186</v>
      </c>
      <c r="D232" t="s">
        <v>35</v>
      </c>
      <c r="E232" t="s">
        <v>26</v>
      </c>
      <c r="F232" t="s">
        <v>26</v>
      </c>
      <c r="G232" t="s">
        <v>27</v>
      </c>
      <c r="H232" t="s">
        <v>28</v>
      </c>
      <c r="I232" s="3" t="s">
        <v>52</v>
      </c>
      <c r="J232" s="3" t="str">
        <f t="shared" si="15"/>
        <v>2019</v>
      </c>
      <c r="K232" s="3"/>
      <c r="L232" s="3"/>
      <c r="M232" s="3"/>
      <c r="N232" s="3"/>
      <c r="O232" s="2" t="s">
        <v>1330</v>
      </c>
      <c r="P232" t="s">
        <v>1331</v>
      </c>
      <c r="Q232" t="s">
        <v>1140</v>
      </c>
      <c r="R232" t="s">
        <v>1141</v>
      </c>
      <c r="S232" t="s">
        <v>1332</v>
      </c>
      <c r="T232" t="s">
        <v>43</v>
      </c>
      <c r="U232">
        <v>435639</v>
      </c>
      <c r="V232" t="str">
        <f t="shared" si="16"/>
        <v>10/25/2019</v>
      </c>
      <c r="W232" t="s">
        <v>44</v>
      </c>
    </row>
    <row r="233" spans="1:24" x14ac:dyDescent="0.25">
      <c r="A233" t="s">
        <v>24</v>
      </c>
      <c r="B233" t="s">
        <v>1134</v>
      </c>
      <c r="C233" t="s">
        <v>139</v>
      </c>
      <c r="D233" t="s">
        <v>35</v>
      </c>
      <c r="E233" t="s">
        <v>26</v>
      </c>
      <c r="F233" t="s">
        <v>26</v>
      </c>
      <c r="G233" t="s">
        <v>27</v>
      </c>
      <c r="H233" t="s">
        <v>28</v>
      </c>
      <c r="I233" s="3" t="s">
        <v>52</v>
      </c>
      <c r="J233" s="3" t="str">
        <f t="shared" si="15"/>
        <v>2019</v>
      </c>
      <c r="K233" s="3"/>
      <c r="L233" s="3"/>
      <c r="M233" s="3"/>
      <c r="N233" s="3"/>
      <c r="O233" s="2" t="s">
        <v>1333</v>
      </c>
      <c r="P233" t="s">
        <v>1334</v>
      </c>
      <c r="Q233" t="s">
        <v>1140</v>
      </c>
      <c r="R233" t="s">
        <v>1141</v>
      </c>
      <c r="S233" t="s">
        <v>1335</v>
      </c>
      <c r="T233" t="s">
        <v>43</v>
      </c>
      <c r="U233">
        <v>435640</v>
      </c>
      <c r="V233" t="str">
        <f t="shared" si="16"/>
        <v>10/25/2019</v>
      </c>
      <c r="W233" t="s">
        <v>44</v>
      </c>
    </row>
    <row r="234" spans="1:24" x14ac:dyDescent="0.25">
      <c r="A234" t="s">
        <v>24</v>
      </c>
      <c r="B234" t="s">
        <v>1134</v>
      </c>
      <c r="C234" t="s">
        <v>93</v>
      </c>
      <c r="D234" t="s">
        <v>35</v>
      </c>
      <c r="E234" t="s">
        <v>26</v>
      </c>
      <c r="F234" t="s">
        <v>26</v>
      </c>
      <c r="G234" t="s">
        <v>27</v>
      </c>
      <c r="H234" t="s">
        <v>28</v>
      </c>
      <c r="I234" s="3" t="s">
        <v>52</v>
      </c>
      <c r="J234" s="3" t="str">
        <f t="shared" si="15"/>
        <v>2019</v>
      </c>
      <c r="K234" s="3"/>
      <c r="L234" s="3"/>
      <c r="M234" s="3"/>
      <c r="N234" s="3"/>
      <c r="O234" s="2" t="s">
        <v>1336</v>
      </c>
      <c r="P234" t="s">
        <v>1337</v>
      </c>
      <c r="Q234" t="s">
        <v>1140</v>
      </c>
      <c r="R234" t="s">
        <v>1141</v>
      </c>
      <c r="S234" t="s">
        <v>1338</v>
      </c>
      <c r="T234" t="s">
        <v>43</v>
      </c>
      <c r="U234">
        <v>435643</v>
      </c>
      <c r="V234" t="str">
        <f t="shared" si="16"/>
        <v>10/25/2019</v>
      </c>
      <c r="W234" t="s">
        <v>44</v>
      </c>
    </row>
    <row r="235" spans="1:24" x14ac:dyDescent="0.25">
      <c r="A235" t="s">
        <v>24</v>
      </c>
      <c r="B235" t="s">
        <v>1134</v>
      </c>
      <c r="C235" t="s">
        <v>263</v>
      </c>
      <c r="D235" t="s">
        <v>35</v>
      </c>
      <c r="E235" t="s">
        <v>26</v>
      </c>
      <c r="F235" t="s">
        <v>26</v>
      </c>
      <c r="G235" t="s">
        <v>27</v>
      </c>
      <c r="H235" t="s">
        <v>28</v>
      </c>
      <c r="I235" s="3" t="s">
        <v>52</v>
      </c>
      <c r="J235" s="3" t="str">
        <f t="shared" si="15"/>
        <v>2019</v>
      </c>
      <c r="K235" s="3"/>
      <c r="L235" s="3"/>
      <c r="M235" s="3"/>
      <c r="N235" s="3"/>
      <c r="O235" s="2" t="s">
        <v>1339</v>
      </c>
      <c r="P235" t="s">
        <v>1340</v>
      </c>
      <c r="Q235" t="s">
        <v>1140</v>
      </c>
      <c r="R235" t="s">
        <v>1141</v>
      </c>
      <c r="S235" t="s">
        <v>1341</v>
      </c>
      <c r="T235" t="s">
        <v>43</v>
      </c>
      <c r="U235">
        <v>435644</v>
      </c>
      <c r="V235" t="str">
        <f t="shared" si="16"/>
        <v>10/25/2019</v>
      </c>
      <c r="W235" t="s">
        <v>44</v>
      </c>
    </row>
    <row r="236" spans="1:24" x14ac:dyDescent="0.25">
      <c r="A236" t="s">
        <v>24</v>
      </c>
      <c r="B236" t="s">
        <v>1134</v>
      </c>
      <c r="C236" t="s">
        <v>85</v>
      </c>
      <c r="D236" t="s">
        <v>35</v>
      </c>
      <c r="E236" t="s">
        <v>26</v>
      </c>
      <c r="F236" t="s">
        <v>26</v>
      </c>
      <c r="G236" t="s">
        <v>27</v>
      </c>
      <c r="H236" t="s">
        <v>28</v>
      </c>
      <c r="I236" s="3" t="s">
        <v>52</v>
      </c>
      <c r="J236" s="3" t="str">
        <f t="shared" si="15"/>
        <v>2019</v>
      </c>
      <c r="K236" s="3"/>
      <c r="L236" s="3"/>
      <c r="M236" s="3"/>
      <c r="N236" s="3"/>
      <c r="O236" s="2" t="s">
        <v>1342</v>
      </c>
      <c r="P236" t="s">
        <v>1343</v>
      </c>
      <c r="Q236" t="s">
        <v>1140</v>
      </c>
      <c r="R236" t="s">
        <v>1141</v>
      </c>
      <c r="S236" t="s">
        <v>1344</v>
      </c>
      <c r="T236" t="s">
        <v>43</v>
      </c>
      <c r="U236">
        <v>435647</v>
      </c>
      <c r="V236" t="str">
        <f t="shared" si="16"/>
        <v>10/25/2019</v>
      </c>
      <c r="W236" t="s">
        <v>44</v>
      </c>
    </row>
    <row r="237" spans="1:24" x14ac:dyDescent="0.25">
      <c r="A237" t="s">
        <v>24</v>
      </c>
      <c r="B237" t="s">
        <v>1134</v>
      </c>
      <c r="C237" t="s">
        <v>144</v>
      </c>
      <c r="D237" t="s">
        <v>35</v>
      </c>
      <c r="E237" t="s">
        <v>26</v>
      </c>
      <c r="F237" t="s">
        <v>26</v>
      </c>
      <c r="G237" t="s">
        <v>27</v>
      </c>
      <c r="H237" t="s">
        <v>28</v>
      </c>
      <c r="I237" s="3" t="s">
        <v>52</v>
      </c>
      <c r="J237" s="3" t="str">
        <f t="shared" si="15"/>
        <v>2019</v>
      </c>
      <c r="K237" s="3"/>
      <c r="L237" s="3"/>
      <c r="M237" s="3"/>
      <c r="N237" s="3"/>
      <c r="O237" s="2" t="s">
        <v>1345</v>
      </c>
      <c r="P237" t="s">
        <v>1346</v>
      </c>
      <c r="Q237" t="s">
        <v>1140</v>
      </c>
      <c r="R237" t="s">
        <v>1141</v>
      </c>
      <c r="S237" t="s">
        <v>1347</v>
      </c>
      <c r="T237" t="s">
        <v>43</v>
      </c>
      <c r="U237">
        <v>435649</v>
      </c>
      <c r="V237" t="str">
        <f t="shared" si="16"/>
        <v>10/25/2019</v>
      </c>
      <c r="W237" t="s">
        <v>44</v>
      </c>
    </row>
    <row r="238" spans="1:24" x14ac:dyDescent="0.25">
      <c r="A238" t="s">
        <v>24</v>
      </c>
      <c r="B238" t="s">
        <v>1134</v>
      </c>
      <c r="C238" t="s">
        <v>258</v>
      </c>
      <c r="D238" t="s">
        <v>35</v>
      </c>
      <c r="E238" t="s">
        <v>26</v>
      </c>
      <c r="F238" t="s">
        <v>26</v>
      </c>
      <c r="G238" t="s">
        <v>27</v>
      </c>
      <c r="H238" t="s">
        <v>28</v>
      </c>
      <c r="I238" s="3" t="s">
        <v>52</v>
      </c>
      <c r="J238" s="3" t="str">
        <f t="shared" si="15"/>
        <v>2019</v>
      </c>
      <c r="K238" s="3"/>
      <c r="L238" s="3"/>
      <c r="M238" s="3"/>
      <c r="N238" s="3"/>
      <c r="O238" s="2" t="s">
        <v>1348</v>
      </c>
      <c r="P238" t="s">
        <v>1349</v>
      </c>
      <c r="Q238" t="s">
        <v>1140</v>
      </c>
      <c r="R238" t="s">
        <v>1141</v>
      </c>
      <c r="S238" t="s">
        <v>1350</v>
      </c>
      <c r="T238" t="s">
        <v>43</v>
      </c>
      <c r="U238">
        <v>435650</v>
      </c>
      <c r="V238" t="str">
        <f t="shared" si="16"/>
        <v>10/25/2019</v>
      </c>
      <c r="W238" t="s">
        <v>44</v>
      </c>
    </row>
    <row r="239" spans="1:24" hidden="1" x14ac:dyDescent="0.25">
      <c r="A239" t="s">
        <v>24</v>
      </c>
      <c r="B239" s="17" t="s">
        <v>1299</v>
      </c>
      <c r="C239" s="17" t="s">
        <v>1351</v>
      </c>
      <c r="D239" s="17" t="s">
        <v>35</v>
      </c>
      <c r="E239" s="17" t="s">
        <v>28</v>
      </c>
      <c r="F239" s="17" t="s">
        <v>28</v>
      </c>
      <c r="G239" s="17" t="s">
        <v>1301</v>
      </c>
      <c r="H239" s="18" t="s">
        <v>280</v>
      </c>
      <c r="I239" s="18" t="s">
        <v>36</v>
      </c>
      <c r="J239" s="18" t="str">
        <f t="shared" si="15"/>
        <v>2019</v>
      </c>
      <c r="K239" s="18"/>
      <c r="L239" s="18" t="s">
        <v>37</v>
      </c>
      <c r="M239" s="18" t="s">
        <v>1352</v>
      </c>
      <c r="N239" s="19"/>
      <c r="O239" s="17" t="s">
        <v>1353</v>
      </c>
      <c r="P239" s="17" t="s">
        <v>1354</v>
      </c>
      <c r="Q239" s="17" t="s">
        <v>1305</v>
      </c>
      <c r="R239" s="17" t="s">
        <v>1306</v>
      </c>
      <c r="S239" s="17" t="s">
        <v>1355</v>
      </c>
      <c r="T239" s="17" t="s">
        <v>43</v>
      </c>
      <c r="U239" s="17">
        <v>3399657</v>
      </c>
      <c r="V239" s="17" t="str">
        <f t="shared" si="16"/>
        <v>09/26/2019</v>
      </c>
      <c r="W239" s="17" t="s">
        <v>44</v>
      </c>
      <c r="X239" s="17"/>
    </row>
    <row r="240" spans="1:24" ht="75" hidden="1" x14ac:dyDescent="0.25">
      <c r="A240" t="s">
        <v>24</v>
      </c>
      <c r="B240" t="s">
        <v>1356</v>
      </c>
      <c r="C240" t="s">
        <v>1357</v>
      </c>
      <c r="D240" t="s">
        <v>35</v>
      </c>
      <c r="E240" t="s">
        <v>28</v>
      </c>
      <c r="F240" t="s">
        <v>28</v>
      </c>
      <c r="G240" t="s">
        <v>1301</v>
      </c>
      <c r="H240" s="3" t="s">
        <v>26</v>
      </c>
      <c r="I240" s="3" t="s">
        <v>1202</v>
      </c>
      <c r="J240" s="3" t="str">
        <f t="shared" si="15"/>
        <v>2019</v>
      </c>
      <c r="K240" s="27" t="s">
        <v>1358</v>
      </c>
      <c r="L240" s="28" t="s">
        <v>1359</v>
      </c>
      <c r="M240" s="28" t="s">
        <v>1360</v>
      </c>
      <c r="N240" s="2"/>
      <c r="O240" t="s">
        <v>1361</v>
      </c>
      <c r="P240" t="s">
        <v>1362</v>
      </c>
      <c r="Q240" t="s">
        <v>1363</v>
      </c>
      <c r="R240" t="s">
        <v>1364</v>
      </c>
      <c r="S240" t="s">
        <v>1365</v>
      </c>
      <c r="T240" t="s">
        <v>43</v>
      </c>
      <c r="U240">
        <v>130437</v>
      </c>
      <c r="V240" t="str">
        <f t="shared" si="16"/>
        <v>10/15/2019</v>
      </c>
      <c r="W240" t="s">
        <v>44</v>
      </c>
      <c r="X240" t="s">
        <v>1366</v>
      </c>
    </row>
    <row r="241" spans="1:24" hidden="1" x14ac:dyDescent="0.25">
      <c r="A241" t="s">
        <v>24</v>
      </c>
      <c r="B241" t="s">
        <v>1367</v>
      </c>
      <c r="C241" t="s">
        <v>1368</v>
      </c>
      <c r="D241" t="s">
        <v>107</v>
      </c>
      <c r="E241" t="s">
        <v>28</v>
      </c>
      <c r="F241" t="s">
        <v>28</v>
      </c>
      <c r="I241" s="3" t="s">
        <v>1369</v>
      </c>
      <c r="J241" s="3" t="str">
        <f t="shared" si="15"/>
        <v>2024</v>
      </c>
      <c r="K241" s="3"/>
      <c r="L241" s="8" t="s">
        <v>1370</v>
      </c>
      <c r="M241" s="1" t="s">
        <v>1371</v>
      </c>
      <c r="N241" s="3"/>
      <c r="O241" s="2" t="s">
        <v>1372</v>
      </c>
      <c r="P241" t="s">
        <v>1373</v>
      </c>
      <c r="Q241" t="s">
        <v>1374</v>
      </c>
      <c r="R241" t="s">
        <v>1375</v>
      </c>
      <c r="S241" t="s">
        <v>1376</v>
      </c>
      <c r="T241" t="s">
        <v>43</v>
      </c>
      <c r="U241">
        <v>17231890</v>
      </c>
      <c r="V241" t="str">
        <f t="shared" si="16"/>
        <v>09/13/2024</v>
      </c>
      <c r="W241" t="s">
        <v>44</v>
      </c>
    </row>
    <row r="242" spans="1:24" hidden="1" x14ac:dyDescent="0.25">
      <c r="A242" t="s">
        <v>24</v>
      </c>
      <c r="B242" s="7" t="s">
        <v>1377</v>
      </c>
      <c r="C242" s="7" t="s">
        <v>1378</v>
      </c>
      <c r="D242" s="7" t="s">
        <v>35</v>
      </c>
      <c r="E242" s="7" t="s">
        <v>28</v>
      </c>
      <c r="F242" s="7" t="s">
        <v>28</v>
      </c>
      <c r="G242" s="7"/>
      <c r="H242" s="7"/>
      <c r="I242" s="13" t="s">
        <v>1379</v>
      </c>
      <c r="J242" s="13" t="str">
        <f t="shared" si="15"/>
        <v>2022</v>
      </c>
      <c r="K242" s="13"/>
      <c r="L242" s="13"/>
      <c r="M242" s="13" t="s">
        <v>37</v>
      </c>
      <c r="N242" s="13"/>
      <c r="O242" s="14" t="s">
        <v>1380</v>
      </c>
      <c r="P242" s="7" t="s">
        <v>1381</v>
      </c>
      <c r="Q242" s="7" t="s">
        <v>1382</v>
      </c>
      <c r="R242" s="7" t="s">
        <v>1383</v>
      </c>
      <c r="S242" s="7" t="s">
        <v>1384</v>
      </c>
      <c r="T242" s="7" t="s">
        <v>43</v>
      </c>
      <c r="U242" s="7">
        <v>188609</v>
      </c>
      <c r="V242" s="7" t="str">
        <f t="shared" si="16"/>
        <v>04/27/2022</v>
      </c>
      <c r="W242" s="7" t="s">
        <v>44</v>
      </c>
      <c r="X242" s="7" t="s">
        <v>1385</v>
      </c>
    </row>
    <row r="243" spans="1:24" hidden="1" x14ac:dyDescent="0.25">
      <c r="A243" t="s">
        <v>24</v>
      </c>
      <c r="B243" s="7" t="s">
        <v>1299</v>
      </c>
      <c r="C243" s="7" t="s">
        <v>1386</v>
      </c>
      <c r="D243" s="7" t="s">
        <v>35</v>
      </c>
      <c r="E243" s="7" t="s">
        <v>28</v>
      </c>
      <c r="F243" s="7" t="s">
        <v>28</v>
      </c>
      <c r="G243" s="7" t="s">
        <v>1301</v>
      </c>
      <c r="H243" s="7" t="s">
        <v>280</v>
      </c>
      <c r="I243" s="13" t="s">
        <v>36</v>
      </c>
      <c r="J243" s="13" t="str">
        <f t="shared" si="15"/>
        <v>2019</v>
      </c>
      <c r="K243" s="13"/>
      <c r="L243" s="13"/>
      <c r="M243" s="13" t="s">
        <v>37</v>
      </c>
      <c r="N243" s="13"/>
      <c r="O243" s="14" t="s">
        <v>1389</v>
      </c>
      <c r="P243" s="7" t="s">
        <v>1390</v>
      </c>
      <c r="Q243" s="7" t="s">
        <v>1305</v>
      </c>
      <c r="R243" s="7" t="s">
        <v>1306</v>
      </c>
      <c r="S243" s="7" t="s">
        <v>1391</v>
      </c>
      <c r="T243" s="7" t="s">
        <v>43</v>
      </c>
      <c r="U243" s="7">
        <v>3399619</v>
      </c>
      <c r="V243" s="7" t="str">
        <f t="shared" si="16"/>
        <v>09/26/2019</v>
      </c>
      <c r="W243" s="7" t="s">
        <v>44</v>
      </c>
      <c r="X243" s="7"/>
    </row>
    <row r="244" spans="1:24" hidden="1" x14ac:dyDescent="0.25">
      <c r="A244" t="s">
        <v>24</v>
      </c>
      <c r="B244" s="7" t="s">
        <v>1299</v>
      </c>
      <c r="C244" s="7" t="s">
        <v>1392</v>
      </c>
      <c r="D244" s="7" t="s">
        <v>35</v>
      </c>
      <c r="E244" s="7" t="s">
        <v>28</v>
      </c>
      <c r="F244" s="7" t="s">
        <v>28</v>
      </c>
      <c r="G244" s="7" t="s">
        <v>1301</v>
      </c>
      <c r="H244" s="7" t="s">
        <v>280</v>
      </c>
      <c r="I244" s="13" t="s">
        <v>36</v>
      </c>
      <c r="J244" s="13" t="str">
        <f t="shared" si="15"/>
        <v>2019</v>
      </c>
      <c r="K244" s="13"/>
      <c r="L244" s="13"/>
      <c r="M244" s="13" t="s">
        <v>37</v>
      </c>
      <c r="N244" s="13"/>
      <c r="O244" s="14" t="s">
        <v>1394</v>
      </c>
      <c r="P244" s="7" t="s">
        <v>1395</v>
      </c>
      <c r="Q244" s="7" t="s">
        <v>1305</v>
      </c>
      <c r="R244" s="7" t="s">
        <v>1306</v>
      </c>
      <c r="S244" s="7" t="s">
        <v>1396</v>
      </c>
      <c r="T244" s="7" t="s">
        <v>43</v>
      </c>
      <c r="U244" s="7">
        <v>3399620</v>
      </c>
      <c r="V244" s="7" t="str">
        <f t="shared" si="16"/>
        <v>09/26/2019</v>
      </c>
      <c r="W244" s="7" t="s">
        <v>44</v>
      </c>
      <c r="X244" s="7"/>
    </row>
    <row r="245" spans="1:24" hidden="1" x14ac:dyDescent="0.25">
      <c r="A245" t="s">
        <v>24</v>
      </c>
      <c r="B245" s="7" t="s">
        <v>1299</v>
      </c>
      <c r="C245" s="7" t="s">
        <v>1397</v>
      </c>
      <c r="D245" s="7" t="s">
        <v>35</v>
      </c>
      <c r="E245" s="7" t="s">
        <v>28</v>
      </c>
      <c r="F245" s="7" t="s">
        <v>28</v>
      </c>
      <c r="G245" s="7" t="s">
        <v>1301</v>
      </c>
      <c r="H245" s="7" t="s">
        <v>280</v>
      </c>
      <c r="I245" s="13" t="s">
        <v>36</v>
      </c>
      <c r="J245" s="13" t="str">
        <f t="shared" si="15"/>
        <v>2019</v>
      </c>
      <c r="K245" s="13"/>
      <c r="L245" s="13"/>
      <c r="M245" s="13" t="s">
        <v>37</v>
      </c>
      <c r="N245" s="13"/>
      <c r="O245" s="14" t="s">
        <v>1399</v>
      </c>
      <c r="P245" s="7" t="s">
        <v>1400</v>
      </c>
      <c r="Q245" s="7" t="s">
        <v>1305</v>
      </c>
      <c r="R245" s="7" t="s">
        <v>1306</v>
      </c>
      <c r="S245" s="7" t="s">
        <v>1401</v>
      </c>
      <c r="T245" s="7" t="s">
        <v>43</v>
      </c>
      <c r="U245" s="7">
        <v>3399621</v>
      </c>
      <c r="V245" s="7" t="str">
        <f t="shared" si="16"/>
        <v>09/26/2019</v>
      </c>
      <c r="W245" s="7" t="s">
        <v>44</v>
      </c>
      <c r="X245" s="7" t="s">
        <v>1402</v>
      </c>
    </row>
    <row r="246" spans="1:24" x14ac:dyDescent="0.25">
      <c r="A246" t="s">
        <v>24</v>
      </c>
      <c r="B246" t="s">
        <v>1299</v>
      </c>
      <c r="C246" t="s">
        <v>1403</v>
      </c>
      <c r="D246" t="s">
        <v>35</v>
      </c>
      <c r="E246" t="s">
        <v>26</v>
      </c>
      <c r="F246" t="s">
        <v>26</v>
      </c>
      <c r="G246" t="s">
        <v>1301</v>
      </c>
      <c r="H246" t="s">
        <v>280</v>
      </c>
      <c r="I246" s="3" t="s">
        <v>36</v>
      </c>
      <c r="J246" s="3" t="str">
        <f t="shared" si="15"/>
        <v>2019</v>
      </c>
      <c r="K246" s="3"/>
      <c r="L246" s="3"/>
      <c r="M246" s="3"/>
      <c r="N246" s="3"/>
      <c r="O246" s="2" t="s">
        <v>1404</v>
      </c>
      <c r="P246" t="s">
        <v>1405</v>
      </c>
      <c r="Q246" t="s">
        <v>1305</v>
      </c>
      <c r="R246" t="s">
        <v>1306</v>
      </c>
      <c r="S246" t="s">
        <v>1406</v>
      </c>
      <c r="T246" t="s">
        <v>43</v>
      </c>
      <c r="U246">
        <v>3399622</v>
      </c>
      <c r="V246" t="str">
        <f t="shared" si="16"/>
        <v>09/26/2019</v>
      </c>
      <c r="W246" t="s">
        <v>44</v>
      </c>
    </row>
    <row r="247" spans="1:24" hidden="1" x14ac:dyDescent="0.25">
      <c r="A247" t="s">
        <v>24</v>
      </c>
      <c r="B247" s="7" t="s">
        <v>1299</v>
      </c>
      <c r="C247" s="7" t="s">
        <v>854</v>
      </c>
      <c r="D247" s="7" t="s">
        <v>35</v>
      </c>
      <c r="E247" s="7" t="s">
        <v>28</v>
      </c>
      <c r="F247" s="7" t="s">
        <v>28</v>
      </c>
      <c r="G247" s="7" t="s">
        <v>1301</v>
      </c>
      <c r="H247" s="7" t="s">
        <v>280</v>
      </c>
      <c r="I247" s="13" t="s">
        <v>36</v>
      </c>
      <c r="J247" s="13" t="str">
        <f t="shared" si="15"/>
        <v>2019</v>
      </c>
      <c r="K247" s="13"/>
      <c r="L247" s="13"/>
      <c r="M247" s="13" t="s">
        <v>37</v>
      </c>
      <c r="N247" s="13"/>
      <c r="O247" s="14" t="s">
        <v>1408</v>
      </c>
      <c r="P247" s="7" t="s">
        <v>1409</v>
      </c>
      <c r="Q247" s="7" t="s">
        <v>1305</v>
      </c>
      <c r="R247" s="7" t="s">
        <v>1306</v>
      </c>
      <c r="S247" s="7" t="s">
        <v>1410</v>
      </c>
      <c r="T247" s="7" t="s">
        <v>43</v>
      </c>
      <c r="U247" s="7">
        <v>3399623</v>
      </c>
      <c r="V247" s="7" t="str">
        <f t="shared" si="16"/>
        <v>09/26/2019</v>
      </c>
      <c r="W247" s="7" t="s">
        <v>44</v>
      </c>
      <c r="X247" s="7" t="s">
        <v>1411</v>
      </c>
    </row>
    <row r="248" spans="1:24" hidden="1" x14ac:dyDescent="0.25">
      <c r="A248" t="s">
        <v>24</v>
      </c>
      <c r="B248" s="7" t="s">
        <v>1299</v>
      </c>
      <c r="C248" s="7" t="s">
        <v>1412</v>
      </c>
      <c r="D248" s="7" t="s">
        <v>35</v>
      </c>
      <c r="E248" s="7" t="s">
        <v>28</v>
      </c>
      <c r="F248" s="7" t="s">
        <v>28</v>
      </c>
      <c r="G248" s="7" t="s">
        <v>1301</v>
      </c>
      <c r="H248" s="7" t="s">
        <v>280</v>
      </c>
      <c r="I248" s="13" t="s">
        <v>36</v>
      </c>
      <c r="J248" s="13" t="str">
        <f t="shared" si="15"/>
        <v>2019</v>
      </c>
      <c r="K248" s="13"/>
      <c r="L248" s="13"/>
      <c r="M248" s="13" t="s">
        <v>37</v>
      </c>
      <c r="N248" s="13"/>
      <c r="O248" s="14" t="s">
        <v>1414</v>
      </c>
      <c r="P248" s="7" t="s">
        <v>1415</v>
      </c>
      <c r="Q248" s="7" t="s">
        <v>1305</v>
      </c>
      <c r="R248" s="7" t="s">
        <v>1306</v>
      </c>
      <c r="S248" s="7" t="s">
        <v>1416</v>
      </c>
      <c r="T248" s="7" t="s">
        <v>43</v>
      </c>
      <c r="U248" s="7">
        <v>3399624</v>
      </c>
      <c r="V248" s="7" t="str">
        <f t="shared" si="16"/>
        <v>09/26/2019</v>
      </c>
      <c r="W248" s="7" t="s">
        <v>44</v>
      </c>
      <c r="X248" s="7"/>
    </row>
    <row r="249" spans="1:24" s="17" customFormat="1" x14ac:dyDescent="0.25">
      <c r="A249" s="17" t="s">
        <v>24</v>
      </c>
      <c r="B249" s="17" t="s">
        <v>1299</v>
      </c>
      <c r="C249" s="17" t="s">
        <v>1417</v>
      </c>
      <c r="D249" s="17" t="s">
        <v>35</v>
      </c>
      <c r="E249" s="17" t="s">
        <v>26</v>
      </c>
      <c r="F249" s="17" t="s">
        <v>28</v>
      </c>
      <c r="G249" s="17" t="s">
        <v>1301</v>
      </c>
      <c r="H249" s="18" t="s">
        <v>280</v>
      </c>
      <c r="I249" s="18" t="s">
        <v>36</v>
      </c>
      <c r="J249" s="18" t="str">
        <f t="shared" si="15"/>
        <v>2019</v>
      </c>
      <c r="K249" s="18"/>
      <c r="L249" s="18" t="s">
        <v>37</v>
      </c>
      <c r="M249" s="18" t="s">
        <v>37</v>
      </c>
      <c r="N249" s="19"/>
      <c r="O249" s="17" t="s">
        <v>1418</v>
      </c>
      <c r="P249" s="17" t="s">
        <v>1419</v>
      </c>
      <c r="Q249" s="17" t="s">
        <v>1305</v>
      </c>
      <c r="R249" s="17" t="s">
        <v>1306</v>
      </c>
      <c r="S249" s="17" t="s">
        <v>1420</v>
      </c>
      <c r="T249" s="17" t="s">
        <v>43</v>
      </c>
      <c r="U249" s="17">
        <v>3399625</v>
      </c>
      <c r="V249" s="17" t="str">
        <f t="shared" si="16"/>
        <v>09/26/2019</v>
      </c>
      <c r="W249" s="17" t="s">
        <v>44</v>
      </c>
    </row>
    <row r="250" spans="1:24" s="17" customFormat="1" x14ac:dyDescent="0.25">
      <c r="A250" s="17" t="s">
        <v>24</v>
      </c>
      <c r="B250" s="17" t="s">
        <v>1299</v>
      </c>
      <c r="C250" s="17" t="s">
        <v>1421</v>
      </c>
      <c r="D250" s="17" t="s">
        <v>35</v>
      </c>
      <c r="E250" s="17" t="s">
        <v>26</v>
      </c>
      <c r="F250" s="17" t="s">
        <v>28</v>
      </c>
      <c r="G250" s="17" t="s">
        <v>1301</v>
      </c>
      <c r="H250" s="18" t="s">
        <v>280</v>
      </c>
      <c r="I250" s="18" t="s">
        <v>36</v>
      </c>
      <c r="J250" s="18" t="str">
        <f t="shared" si="15"/>
        <v>2019</v>
      </c>
      <c r="K250" s="18"/>
      <c r="L250" s="18" t="s">
        <v>37</v>
      </c>
      <c r="M250" s="18" t="s">
        <v>37</v>
      </c>
      <c r="N250" s="19"/>
      <c r="O250" s="17" t="s">
        <v>1422</v>
      </c>
      <c r="P250" s="17" t="s">
        <v>1423</v>
      </c>
      <c r="Q250" s="17" t="s">
        <v>1305</v>
      </c>
      <c r="R250" s="17" t="s">
        <v>1306</v>
      </c>
      <c r="S250" s="17" t="s">
        <v>1424</v>
      </c>
      <c r="T250" s="17" t="s">
        <v>43</v>
      </c>
      <c r="U250" s="17">
        <v>3399626</v>
      </c>
      <c r="V250" s="17" t="str">
        <f t="shared" si="16"/>
        <v>09/26/2019</v>
      </c>
      <c r="W250" s="17" t="s">
        <v>44</v>
      </c>
    </row>
    <row r="251" spans="1:24" s="17" customFormat="1" x14ac:dyDescent="0.25">
      <c r="A251" s="17" t="s">
        <v>24</v>
      </c>
      <c r="B251" s="17" t="s">
        <v>1299</v>
      </c>
      <c r="C251" s="17" t="s">
        <v>1425</v>
      </c>
      <c r="D251" s="17" t="s">
        <v>35</v>
      </c>
      <c r="E251" s="17" t="s">
        <v>26</v>
      </c>
      <c r="F251" s="17" t="s">
        <v>28</v>
      </c>
      <c r="G251" s="17" t="s">
        <v>1301</v>
      </c>
      <c r="H251" s="18" t="s">
        <v>280</v>
      </c>
      <c r="I251" s="18" t="s">
        <v>36</v>
      </c>
      <c r="J251" s="18" t="str">
        <f t="shared" si="15"/>
        <v>2019</v>
      </c>
      <c r="K251" s="18"/>
      <c r="L251" s="18" t="s">
        <v>37</v>
      </c>
      <c r="M251" s="18" t="s">
        <v>37</v>
      </c>
      <c r="N251" s="19"/>
      <c r="O251" s="17" t="s">
        <v>1426</v>
      </c>
      <c r="P251" s="17" t="s">
        <v>1427</v>
      </c>
      <c r="Q251" s="17" t="s">
        <v>1305</v>
      </c>
      <c r="R251" s="17" t="s">
        <v>1306</v>
      </c>
      <c r="S251" s="17" t="s">
        <v>1428</v>
      </c>
      <c r="T251" s="17" t="s">
        <v>43</v>
      </c>
      <c r="U251" s="17">
        <v>3399627</v>
      </c>
      <c r="V251" s="17" t="str">
        <f t="shared" si="16"/>
        <v>09/26/2019</v>
      </c>
      <c r="W251" s="17" t="s">
        <v>44</v>
      </c>
    </row>
    <row r="252" spans="1:24" s="17" customFormat="1" x14ac:dyDescent="0.25">
      <c r="A252" s="17" t="s">
        <v>24</v>
      </c>
      <c r="B252" s="17" t="s">
        <v>1299</v>
      </c>
      <c r="C252" s="17" t="s">
        <v>1429</v>
      </c>
      <c r="D252" s="17" t="s">
        <v>35</v>
      </c>
      <c r="E252" s="17" t="s">
        <v>26</v>
      </c>
      <c r="F252" s="17" t="s">
        <v>28</v>
      </c>
      <c r="G252" s="17" t="s">
        <v>1301</v>
      </c>
      <c r="H252" s="18" t="s">
        <v>280</v>
      </c>
      <c r="I252" s="18" t="s">
        <v>36</v>
      </c>
      <c r="J252" s="18" t="str">
        <f t="shared" si="15"/>
        <v>2019</v>
      </c>
      <c r="K252" s="18"/>
      <c r="L252" s="18" t="s">
        <v>37</v>
      </c>
      <c r="M252" s="18" t="s">
        <v>37</v>
      </c>
      <c r="N252" s="19"/>
      <c r="O252" s="17" t="s">
        <v>1430</v>
      </c>
      <c r="P252" s="17" t="s">
        <v>1431</v>
      </c>
      <c r="Q252" s="17" t="s">
        <v>1305</v>
      </c>
      <c r="R252" s="17" t="s">
        <v>1306</v>
      </c>
      <c r="S252" s="17" t="s">
        <v>1432</v>
      </c>
      <c r="T252" s="17" t="s">
        <v>43</v>
      </c>
      <c r="U252" s="17">
        <v>3399628</v>
      </c>
      <c r="V252" s="17" t="str">
        <f t="shared" si="16"/>
        <v>09/26/2019</v>
      </c>
      <c r="W252" s="17" t="s">
        <v>44</v>
      </c>
      <c r="X252" s="17" t="s">
        <v>1433</v>
      </c>
    </row>
    <row r="253" spans="1:24" s="17" customFormat="1" x14ac:dyDescent="0.25">
      <c r="A253" s="17" t="s">
        <v>24</v>
      </c>
      <c r="B253" s="17" t="s">
        <v>1299</v>
      </c>
      <c r="C253" s="17" t="s">
        <v>1434</v>
      </c>
      <c r="D253" s="17" t="s">
        <v>35</v>
      </c>
      <c r="E253" s="17" t="s">
        <v>26</v>
      </c>
      <c r="F253" s="17" t="s">
        <v>28</v>
      </c>
      <c r="G253" s="17" t="s">
        <v>1301</v>
      </c>
      <c r="H253" s="18" t="s">
        <v>280</v>
      </c>
      <c r="I253" s="18" t="s">
        <v>36</v>
      </c>
      <c r="J253" s="18" t="str">
        <f t="shared" si="15"/>
        <v>2019</v>
      </c>
      <c r="K253" s="18"/>
      <c r="L253" s="18" t="s">
        <v>37</v>
      </c>
      <c r="M253" s="18" t="s">
        <v>37</v>
      </c>
      <c r="N253" s="19"/>
      <c r="O253" s="17" t="s">
        <v>1435</v>
      </c>
      <c r="P253" s="17" t="s">
        <v>1436</v>
      </c>
      <c r="Q253" s="17" t="s">
        <v>1305</v>
      </c>
      <c r="R253" s="17" t="s">
        <v>1306</v>
      </c>
      <c r="S253" s="17" t="s">
        <v>1437</v>
      </c>
      <c r="T253" s="17" t="s">
        <v>43</v>
      </c>
      <c r="U253" s="17">
        <v>3399629</v>
      </c>
      <c r="V253" s="17" t="str">
        <f t="shared" si="16"/>
        <v>09/26/2019</v>
      </c>
      <c r="W253" s="17" t="s">
        <v>44</v>
      </c>
      <c r="X253" s="17" t="s">
        <v>1438</v>
      </c>
    </row>
    <row r="254" spans="1:24" s="17" customFormat="1" x14ac:dyDescent="0.25">
      <c r="A254" s="17" t="s">
        <v>24</v>
      </c>
      <c r="B254" s="17" t="s">
        <v>1299</v>
      </c>
      <c r="C254" s="17" t="s">
        <v>1439</v>
      </c>
      <c r="D254" s="17" t="s">
        <v>35</v>
      </c>
      <c r="E254" s="17" t="s">
        <v>26</v>
      </c>
      <c r="F254" s="17" t="s">
        <v>28</v>
      </c>
      <c r="G254" s="17" t="s">
        <v>1301</v>
      </c>
      <c r="H254" s="18" t="s">
        <v>280</v>
      </c>
      <c r="I254" s="18" t="s">
        <v>36</v>
      </c>
      <c r="J254" s="18" t="str">
        <f t="shared" si="15"/>
        <v>2019</v>
      </c>
      <c r="K254" s="18"/>
      <c r="L254" s="18" t="s">
        <v>37</v>
      </c>
      <c r="M254" s="18" t="s">
        <v>37</v>
      </c>
      <c r="N254" s="19"/>
      <c r="O254" s="17" t="s">
        <v>1440</v>
      </c>
      <c r="P254" s="17" t="s">
        <v>1441</v>
      </c>
      <c r="Q254" s="17" t="s">
        <v>1305</v>
      </c>
      <c r="R254" s="17" t="s">
        <v>1306</v>
      </c>
      <c r="S254" s="17" t="s">
        <v>1442</v>
      </c>
      <c r="T254" s="17" t="s">
        <v>43</v>
      </c>
      <c r="U254" s="17">
        <v>3399630</v>
      </c>
      <c r="V254" s="17" t="str">
        <f t="shared" si="16"/>
        <v>09/26/2019</v>
      </c>
      <c r="W254" s="17" t="s">
        <v>44</v>
      </c>
    </row>
    <row r="255" spans="1:24" s="17" customFormat="1" x14ac:dyDescent="0.25">
      <c r="A255" s="17" t="s">
        <v>24</v>
      </c>
      <c r="B255" s="17" t="s">
        <v>1299</v>
      </c>
      <c r="C255" s="17" t="s">
        <v>1443</v>
      </c>
      <c r="D255" s="17" t="s">
        <v>35</v>
      </c>
      <c r="E255" s="17" t="s">
        <v>26</v>
      </c>
      <c r="F255" s="17" t="s">
        <v>28</v>
      </c>
      <c r="G255" s="17" t="s">
        <v>1301</v>
      </c>
      <c r="H255" s="18" t="s">
        <v>280</v>
      </c>
      <c r="I255" s="18" t="s">
        <v>36</v>
      </c>
      <c r="J255" s="18" t="str">
        <f t="shared" si="15"/>
        <v>2019</v>
      </c>
      <c r="K255" s="18"/>
      <c r="L255" s="18" t="s">
        <v>37</v>
      </c>
      <c r="M255" s="18" t="s">
        <v>37</v>
      </c>
      <c r="N255" s="19"/>
      <c r="O255" s="17" t="s">
        <v>1444</v>
      </c>
      <c r="P255" s="17" t="s">
        <v>1445</v>
      </c>
      <c r="Q255" s="17" t="s">
        <v>1305</v>
      </c>
      <c r="R255" s="17" t="s">
        <v>1306</v>
      </c>
      <c r="S255" s="17" t="s">
        <v>1446</v>
      </c>
      <c r="T255" s="17" t="s">
        <v>43</v>
      </c>
      <c r="U255" s="17">
        <v>3399631</v>
      </c>
      <c r="V255" s="17" t="str">
        <f t="shared" si="16"/>
        <v>09/26/2019</v>
      </c>
      <c r="W255" s="17" t="s">
        <v>44</v>
      </c>
    </row>
    <row r="256" spans="1:24" s="17" customFormat="1" x14ac:dyDescent="0.25">
      <c r="A256" s="17" t="s">
        <v>24</v>
      </c>
      <c r="B256" s="17" t="s">
        <v>1299</v>
      </c>
      <c r="C256" s="17" t="s">
        <v>1447</v>
      </c>
      <c r="D256" s="17" t="s">
        <v>35</v>
      </c>
      <c r="E256" s="17" t="s">
        <v>26</v>
      </c>
      <c r="F256" s="17" t="s">
        <v>28</v>
      </c>
      <c r="G256" s="17" t="s">
        <v>1301</v>
      </c>
      <c r="H256" s="18" t="s">
        <v>280</v>
      </c>
      <c r="I256" s="18" t="s">
        <v>36</v>
      </c>
      <c r="J256" s="18" t="str">
        <f t="shared" si="15"/>
        <v>2019</v>
      </c>
      <c r="K256" s="18"/>
      <c r="L256" s="18" t="s">
        <v>37</v>
      </c>
      <c r="M256" s="18" t="s">
        <v>37</v>
      </c>
      <c r="N256" s="19"/>
      <c r="O256" s="17" t="s">
        <v>1448</v>
      </c>
      <c r="P256" s="17" t="s">
        <v>1449</v>
      </c>
      <c r="Q256" s="17" t="s">
        <v>1305</v>
      </c>
      <c r="R256" s="17" t="s">
        <v>1306</v>
      </c>
      <c r="S256" s="17" t="s">
        <v>1450</v>
      </c>
      <c r="T256" s="17" t="s">
        <v>43</v>
      </c>
      <c r="U256" s="17">
        <v>3399632</v>
      </c>
      <c r="V256" s="17" t="str">
        <f t="shared" si="16"/>
        <v>09/26/2019</v>
      </c>
      <c r="W256" s="17" t="s">
        <v>44</v>
      </c>
      <c r="X256" s="17" t="s">
        <v>1451</v>
      </c>
    </row>
    <row r="257" spans="1:24" s="17" customFormat="1" x14ac:dyDescent="0.25">
      <c r="A257" s="17" t="s">
        <v>24</v>
      </c>
      <c r="B257" s="17" t="s">
        <v>1299</v>
      </c>
      <c r="C257" s="17" t="s">
        <v>1452</v>
      </c>
      <c r="D257" s="17" t="s">
        <v>35</v>
      </c>
      <c r="E257" s="17" t="s">
        <v>26</v>
      </c>
      <c r="F257" s="17" t="s">
        <v>28</v>
      </c>
      <c r="G257" s="17" t="s">
        <v>1301</v>
      </c>
      <c r="H257" s="18" t="s">
        <v>280</v>
      </c>
      <c r="I257" s="18" t="s">
        <v>36</v>
      </c>
      <c r="J257" s="18" t="str">
        <f t="shared" si="15"/>
        <v>2019</v>
      </c>
      <c r="K257" s="18"/>
      <c r="L257" s="18" t="s">
        <v>37</v>
      </c>
      <c r="M257" s="18" t="s">
        <v>37</v>
      </c>
      <c r="N257" s="19"/>
      <c r="O257" s="17" t="s">
        <v>1453</v>
      </c>
      <c r="P257" s="17" t="s">
        <v>1454</v>
      </c>
      <c r="Q257" s="17" t="s">
        <v>1305</v>
      </c>
      <c r="R257" s="17" t="s">
        <v>1306</v>
      </c>
      <c r="S257" s="17" t="s">
        <v>1455</v>
      </c>
      <c r="T257" s="17" t="s">
        <v>43</v>
      </c>
      <c r="U257" s="17">
        <v>3399633</v>
      </c>
      <c r="V257" s="17" t="str">
        <f t="shared" si="16"/>
        <v>09/26/2019</v>
      </c>
      <c r="W257" s="17" t="s">
        <v>44</v>
      </c>
      <c r="X257" s="17" t="s">
        <v>1456</v>
      </c>
    </row>
    <row r="258" spans="1:24" s="17" customFormat="1" x14ac:dyDescent="0.25">
      <c r="A258" s="17" t="s">
        <v>24</v>
      </c>
      <c r="B258" s="17" t="s">
        <v>1299</v>
      </c>
      <c r="C258" s="17" t="s">
        <v>1457</v>
      </c>
      <c r="D258" s="17" t="s">
        <v>35</v>
      </c>
      <c r="E258" s="17" t="s">
        <v>26</v>
      </c>
      <c r="F258" s="17" t="s">
        <v>28</v>
      </c>
      <c r="G258" s="17" t="s">
        <v>1301</v>
      </c>
      <c r="H258" s="18" t="s">
        <v>280</v>
      </c>
      <c r="I258" s="18" t="s">
        <v>36</v>
      </c>
      <c r="J258" s="18" t="str">
        <f t="shared" si="15"/>
        <v>2019</v>
      </c>
      <c r="K258" s="18"/>
      <c r="L258" s="18" t="s">
        <v>37</v>
      </c>
      <c r="M258" s="18" t="s">
        <v>37</v>
      </c>
      <c r="N258" s="19"/>
      <c r="O258" s="17" t="s">
        <v>1458</v>
      </c>
      <c r="P258" s="17" t="s">
        <v>1459</v>
      </c>
      <c r="Q258" s="17" t="s">
        <v>1305</v>
      </c>
      <c r="R258" s="17" t="s">
        <v>1306</v>
      </c>
      <c r="S258" s="17" t="s">
        <v>1460</v>
      </c>
      <c r="T258" s="17" t="s">
        <v>43</v>
      </c>
      <c r="U258" s="17">
        <v>3399634</v>
      </c>
      <c r="V258" s="17" t="str">
        <f t="shared" si="16"/>
        <v>09/26/2019</v>
      </c>
      <c r="W258" s="17" t="s">
        <v>44</v>
      </c>
      <c r="X258" s="17" t="s">
        <v>1461</v>
      </c>
    </row>
    <row r="259" spans="1:24" s="17" customFormat="1" x14ac:dyDescent="0.25">
      <c r="A259" s="17" t="s">
        <v>24</v>
      </c>
      <c r="B259" s="17" t="s">
        <v>1299</v>
      </c>
      <c r="C259" s="17" t="s">
        <v>1461</v>
      </c>
      <c r="D259" s="17" t="s">
        <v>35</v>
      </c>
      <c r="E259" s="17" t="s">
        <v>26</v>
      </c>
      <c r="F259" s="17" t="s">
        <v>26</v>
      </c>
      <c r="G259" s="17" t="s">
        <v>37</v>
      </c>
      <c r="H259" s="18" t="s">
        <v>28</v>
      </c>
      <c r="I259" s="18" t="s">
        <v>36</v>
      </c>
      <c r="J259" s="18" t="str">
        <f t="shared" si="15"/>
        <v>2019</v>
      </c>
      <c r="K259" s="18"/>
      <c r="L259" s="18"/>
      <c r="M259" s="18"/>
      <c r="N259" s="19"/>
      <c r="O259" s="17" t="s">
        <v>1462</v>
      </c>
      <c r="P259" s="17" t="s">
        <v>1463</v>
      </c>
      <c r="Q259" s="17" t="s">
        <v>1305</v>
      </c>
      <c r="R259" s="17" t="s">
        <v>1306</v>
      </c>
      <c r="S259" s="17" t="s">
        <v>1464</v>
      </c>
      <c r="T259" s="17" t="s">
        <v>43</v>
      </c>
      <c r="U259" s="17">
        <v>3399635</v>
      </c>
      <c r="V259" s="17" t="str">
        <f t="shared" si="16"/>
        <v>09/26/2019</v>
      </c>
      <c r="W259" s="17" t="s">
        <v>44</v>
      </c>
    </row>
    <row r="260" spans="1:24" s="17" customFormat="1" x14ac:dyDescent="0.25">
      <c r="A260" s="17" t="s">
        <v>24</v>
      </c>
      <c r="B260" s="17" t="s">
        <v>1299</v>
      </c>
      <c r="C260" s="17" t="s">
        <v>1465</v>
      </c>
      <c r="D260" s="17" t="s">
        <v>35</v>
      </c>
      <c r="E260" s="17" t="s">
        <v>26</v>
      </c>
      <c r="F260" s="17" t="s">
        <v>28</v>
      </c>
      <c r="G260" s="17" t="s">
        <v>1301</v>
      </c>
      <c r="H260" s="18" t="s">
        <v>280</v>
      </c>
      <c r="I260" s="18" t="s">
        <v>36</v>
      </c>
      <c r="J260" s="18" t="str">
        <f t="shared" si="15"/>
        <v>2019</v>
      </c>
      <c r="K260" s="18"/>
      <c r="L260" s="18" t="s">
        <v>37</v>
      </c>
      <c r="M260" s="18" t="s">
        <v>37</v>
      </c>
      <c r="N260" s="19"/>
      <c r="O260" s="17" t="s">
        <v>1466</v>
      </c>
      <c r="P260" s="17" t="s">
        <v>1467</v>
      </c>
      <c r="Q260" s="17" t="s">
        <v>1305</v>
      </c>
      <c r="R260" s="17" t="s">
        <v>1306</v>
      </c>
      <c r="S260" s="17" t="s">
        <v>1468</v>
      </c>
      <c r="T260" s="17" t="s">
        <v>43</v>
      </c>
      <c r="U260" s="17">
        <v>3399636</v>
      </c>
      <c r="V260" s="17" t="str">
        <f t="shared" si="16"/>
        <v>09/26/2019</v>
      </c>
      <c r="W260" s="17" t="s">
        <v>44</v>
      </c>
    </row>
    <row r="261" spans="1:24" s="17" customFormat="1" x14ac:dyDescent="0.25">
      <c r="A261" s="17" t="s">
        <v>24</v>
      </c>
      <c r="B261" s="17" t="s">
        <v>1299</v>
      </c>
      <c r="C261" s="17" t="s">
        <v>1469</v>
      </c>
      <c r="D261" s="17" t="s">
        <v>35</v>
      </c>
      <c r="E261" s="17" t="s">
        <v>26</v>
      </c>
      <c r="F261" s="17" t="s">
        <v>28</v>
      </c>
      <c r="G261" s="17" t="s">
        <v>1301</v>
      </c>
      <c r="H261" s="18" t="s">
        <v>280</v>
      </c>
      <c r="I261" s="18" t="s">
        <v>36</v>
      </c>
      <c r="J261" s="18" t="str">
        <f t="shared" ref="J261:J324" si="17">RIGHT(I261,4)</f>
        <v>2019</v>
      </c>
      <c r="K261" s="18"/>
      <c r="L261" s="18" t="s">
        <v>37</v>
      </c>
      <c r="M261" s="18" t="s">
        <v>37</v>
      </c>
      <c r="N261" s="19"/>
      <c r="O261" s="17" t="s">
        <v>1470</v>
      </c>
      <c r="P261" s="17" t="s">
        <v>1471</v>
      </c>
      <c r="Q261" s="17" t="s">
        <v>1305</v>
      </c>
      <c r="R261" s="17" t="s">
        <v>1306</v>
      </c>
      <c r="S261" s="17" t="s">
        <v>1472</v>
      </c>
      <c r="T261" s="17" t="s">
        <v>43</v>
      </c>
      <c r="U261" s="17">
        <v>3399637</v>
      </c>
      <c r="V261" s="17" t="str">
        <f t="shared" si="16"/>
        <v>09/26/2019</v>
      </c>
      <c r="W261" s="17" t="s">
        <v>44</v>
      </c>
    </row>
    <row r="262" spans="1:24" s="17" customFormat="1" x14ac:dyDescent="0.25">
      <c r="A262" s="17" t="s">
        <v>24</v>
      </c>
      <c r="B262" s="17" t="s">
        <v>1299</v>
      </c>
      <c r="C262" s="17" t="s">
        <v>1473</v>
      </c>
      <c r="D262" s="17" t="s">
        <v>35</v>
      </c>
      <c r="E262" s="17" t="s">
        <v>26</v>
      </c>
      <c r="F262" s="17" t="s">
        <v>26</v>
      </c>
      <c r="G262" s="17" t="s">
        <v>37</v>
      </c>
      <c r="H262" s="18" t="s">
        <v>28</v>
      </c>
      <c r="I262" s="18" t="s">
        <v>36</v>
      </c>
      <c r="J262" s="18" t="str">
        <f t="shared" si="17"/>
        <v>2019</v>
      </c>
      <c r="K262" s="18"/>
      <c r="L262" s="18"/>
      <c r="M262" s="18"/>
      <c r="N262" s="19"/>
      <c r="O262" s="17" t="s">
        <v>1474</v>
      </c>
      <c r="P262" s="17" t="s">
        <v>1475</v>
      </c>
      <c r="Q262" s="17" t="s">
        <v>1305</v>
      </c>
      <c r="R262" s="17" t="s">
        <v>1306</v>
      </c>
      <c r="S262" s="17" t="s">
        <v>1476</v>
      </c>
      <c r="T262" s="17" t="s">
        <v>43</v>
      </c>
      <c r="U262" s="17">
        <v>3399638</v>
      </c>
      <c r="V262" s="17" t="str">
        <f t="shared" si="16"/>
        <v>09/26/2019</v>
      </c>
      <c r="W262" s="17" t="s">
        <v>44</v>
      </c>
    </row>
    <row r="263" spans="1:24" s="17" customFormat="1" x14ac:dyDescent="0.25">
      <c r="A263" s="17" t="s">
        <v>24</v>
      </c>
      <c r="B263" s="17" t="s">
        <v>1299</v>
      </c>
      <c r="C263" s="17" t="s">
        <v>1477</v>
      </c>
      <c r="D263" s="17" t="s">
        <v>35</v>
      </c>
      <c r="E263" s="17" t="s">
        <v>26</v>
      </c>
      <c r="F263" s="17" t="s">
        <v>28</v>
      </c>
      <c r="G263" s="17" t="s">
        <v>1301</v>
      </c>
      <c r="H263" s="18" t="s">
        <v>280</v>
      </c>
      <c r="I263" s="18" t="s">
        <v>36</v>
      </c>
      <c r="J263" s="18" t="str">
        <f t="shared" si="17"/>
        <v>2019</v>
      </c>
      <c r="K263" s="18"/>
      <c r="L263" s="18" t="s">
        <v>37</v>
      </c>
      <c r="M263" s="18" t="s">
        <v>37</v>
      </c>
      <c r="N263" s="19"/>
      <c r="O263" s="17" t="s">
        <v>1478</v>
      </c>
      <c r="P263" s="17" t="s">
        <v>1479</v>
      </c>
      <c r="Q263" s="17" t="s">
        <v>1305</v>
      </c>
      <c r="R263" s="17" t="s">
        <v>1306</v>
      </c>
      <c r="S263" s="17" t="s">
        <v>1480</v>
      </c>
      <c r="T263" s="17" t="s">
        <v>43</v>
      </c>
      <c r="U263" s="17">
        <v>3399639</v>
      </c>
      <c r="V263" s="17" t="str">
        <f t="shared" si="16"/>
        <v>09/26/2019</v>
      </c>
      <c r="W263" s="17" t="s">
        <v>44</v>
      </c>
    </row>
    <row r="264" spans="1:24" s="17" customFormat="1" x14ac:dyDescent="0.25">
      <c r="A264" s="17" t="s">
        <v>24</v>
      </c>
      <c r="B264" s="17" t="s">
        <v>1299</v>
      </c>
      <c r="C264" s="17" t="s">
        <v>1481</v>
      </c>
      <c r="D264" s="17" t="s">
        <v>35</v>
      </c>
      <c r="E264" s="17" t="s">
        <v>26</v>
      </c>
      <c r="F264" s="17" t="s">
        <v>28</v>
      </c>
      <c r="G264" s="17" t="s">
        <v>1301</v>
      </c>
      <c r="H264" s="18" t="s">
        <v>280</v>
      </c>
      <c r="I264" s="18" t="s">
        <v>36</v>
      </c>
      <c r="J264" s="18" t="str">
        <f t="shared" si="17"/>
        <v>2019</v>
      </c>
      <c r="K264" s="18"/>
      <c r="L264" s="18" t="s">
        <v>37</v>
      </c>
      <c r="M264" s="18" t="s">
        <v>37</v>
      </c>
      <c r="N264" s="19"/>
      <c r="O264" s="17" t="s">
        <v>1482</v>
      </c>
      <c r="P264" s="17" t="s">
        <v>1483</v>
      </c>
      <c r="Q264" s="17" t="s">
        <v>1305</v>
      </c>
      <c r="R264" s="17" t="s">
        <v>1306</v>
      </c>
      <c r="S264" s="17" t="s">
        <v>1484</v>
      </c>
      <c r="T264" s="17" t="s">
        <v>43</v>
      </c>
      <c r="U264" s="17">
        <v>3399640</v>
      </c>
      <c r="V264" s="17" t="str">
        <f t="shared" ref="V264:V327" si="18">TEXT(DATEVALUE(LEFT(O264,10)), "mm/dd/yyyy")</f>
        <v>09/26/2019</v>
      </c>
      <c r="W264" s="17" t="s">
        <v>44</v>
      </c>
    </row>
    <row r="265" spans="1:24" s="17" customFormat="1" x14ac:dyDescent="0.25">
      <c r="A265" s="17" t="s">
        <v>24</v>
      </c>
      <c r="B265" s="17" t="s">
        <v>1299</v>
      </c>
      <c r="C265" s="17" t="s">
        <v>1485</v>
      </c>
      <c r="D265" s="17" t="s">
        <v>35</v>
      </c>
      <c r="E265" s="17" t="s">
        <v>26</v>
      </c>
      <c r="F265" s="17" t="s">
        <v>28</v>
      </c>
      <c r="G265" s="17" t="s">
        <v>1301</v>
      </c>
      <c r="H265" s="18" t="s">
        <v>280</v>
      </c>
      <c r="I265" s="18" t="s">
        <v>36</v>
      </c>
      <c r="J265" s="18" t="str">
        <f t="shared" si="17"/>
        <v>2019</v>
      </c>
      <c r="K265" s="18"/>
      <c r="L265" s="18" t="s">
        <v>37</v>
      </c>
      <c r="M265" s="18" t="s">
        <v>37</v>
      </c>
      <c r="N265" s="19"/>
      <c r="O265" s="17" t="s">
        <v>1486</v>
      </c>
      <c r="P265" s="17" t="s">
        <v>1487</v>
      </c>
      <c r="Q265" s="17" t="s">
        <v>1305</v>
      </c>
      <c r="R265" s="17" t="s">
        <v>1306</v>
      </c>
      <c r="S265" s="17" t="s">
        <v>1488</v>
      </c>
      <c r="T265" s="17" t="s">
        <v>43</v>
      </c>
      <c r="U265" s="17">
        <v>3399641</v>
      </c>
      <c r="V265" s="17" t="str">
        <f t="shared" si="18"/>
        <v>09/26/2019</v>
      </c>
      <c r="W265" s="17" t="s">
        <v>44</v>
      </c>
    </row>
    <row r="266" spans="1:24" s="17" customFormat="1" x14ac:dyDescent="0.25">
      <c r="A266" s="17" t="s">
        <v>24</v>
      </c>
      <c r="B266" s="17" t="s">
        <v>1299</v>
      </c>
      <c r="C266" s="17" t="s">
        <v>1489</v>
      </c>
      <c r="D266" s="17" t="s">
        <v>35</v>
      </c>
      <c r="E266" s="17" t="s">
        <v>26</v>
      </c>
      <c r="F266" s="17" t="s">
        <v>26</v>
      </c>
      <c r="G266" s="17" t="s">
        <v>37</v>
      </c>
      <c r="H266" s="18" t="s">
        <v>28</v>
      </c>
      <c r="I266" s="18" t="s">
        <v>36</v>
      </c>
      <c r="J266" s="18" t="str">
        <f t="shared" si="17"/>
        <v>2019</v>
      </c>
      <c r="K266" s="18"/>
      <c r="L266" s="18"/>
      <c r="M266" s="18"/>
      <c r="N266" s="19"/>
      <c r="O266" s="17" t="s">
        <v>1490</v>
      </c>
      <c r="P266" s="17" t="s">
        <v>1491</v>
      </c>
      <c r="Q266" s="17" t="s">
        <v>1305</v>
      </c>
      <c r="R266" s="17" t="s">
        <v>1306</v>
      </c>
      <c r="S266" s="17" t="s">
        <v>1492</v>
      </c>
      <c r="T266" s="17" t="s">
        <v>43</v>
      </c>
      <c r="U266" s="17">
        <v>3399642</v>
      </c>
      <c r="V266" s="17" t="str">
        <f t="shared" si="18"/>
        <v>09/26/2019</v>
      </c>
      <c r="W266" s="17" t="s">
        <v>44</v>
      </c>
    </row>
    <row r="267" spans="1:24" s="17" customFormat="1" x14ac:dyDescent="0.25">
      <c r="A267" s="17" t="s">
        <v>24</v>
      </c>
      <c r="B267" s="17" t="s">
        <v>1299</v>
      </c>
      <c r="C267" s="17" t="s">
        <v>1493</v>
      </c>
      <c r="D267" s="17" t="s">
        <v>35</v>
      </c>
      <c r="E267" s="17" t="s">
        <v>26</v>
      </c>
      <c r="F267" s="17" t="s">
        <v>28</v>
      </c>
      <c r="G267" s="17" t="s">
        <v>1301</v>
      </c>
      <c r="H267" s="18" t="s">
        <v>280</v>
      </c>
      <c r="I267" s="18" t="s">
        <v>36</v>
      </c>
      <c r="J267" s="18" t="str">
        <f t="shared" si="17"/>
        <v>2019</v>
      </c>
      <c r="K267" s="18"/>
      <c r="L267" s="18" t="s">
        <v>37</v>
      </c>
      <c r="M267" s="18" t="s">
        <v>37</v>
      </c>
      <c r="N267" s="19"/>
      <c r="O267" s="17" t="s">
        <v>1494</v>
      </c>
      <c r="P267" s="17" t="s">
        <v>1495</v>
      </c>
      <c r="Q267" s="17" t="s">
        <v>1305</v>
      </c>
      <c r="R267" s="17" t="s">
        <v>1306</v>
      </c>
      <c r="S267" s="17" t="s">
        <v>1496</v>
      </c>
      <c r="T267" s="17" t="s">
        <v>43</v>
      </c>
      <c r="U267" s="17">
        <v>3399643</v>
      </c>
      <c r="V267" s="17" t="str">
        <f t="shared" si="18"/>
        <v>09/26/2019</v>
      </c>
      <c r="W267" s="17" t="s">
        <v>44</v>
      </c>
    </row>
    <row r="268" spans="1:24" s="17" customFormat="1" x14ac:dyDescent="0.25">
      <c r="A268" s="17" t="s">
        <v>24</v>
      </c>
      <c r="B268" s="17" t="s">
        <v>1299</v>
      </c>
      <c r="C268" s="17" t="s">
        <v>1497</v>
      </c>
      <c r="D268" s="17" t="s">
        <v>35</v>
      </c>
      <c r="E268" s="17" t="s">
        <v>26</v>
      </c>
      <c r="F268" s="17" t="s">
        <v>26</v>
      </c>
      <c r="G268" s="17" t="s">
        <v>37</v>
      </c>
      <c r="H268" s="18" t="s">
        <v>28</v>
      </c>
      <c r="I268" s="18" t="s">
        <v>36</v>
      </c>
      <c r="J268" s="18" t="str">
        <f t="shared" si="17"/>
        <v>2019</v>
      </c>
      <c r="K268" s="18"/>
      <c r="L268" s="18"/>
      <c r="M268" s="18"/>
      <c r="N268" s="19"/>
      <c r="O268" s="17" t="s">
        <v>1498</v>
      </c>
      <c r="P268" s="17" t="s">
        <v>1499</v>
      </c>
      <c r="Q268" s="17" t="s">
        <v>1305</v>
      </c>
      <c r="R268" s="17" t="s">
        <v>1306</v>
      </c>
      <c r="S268" s="17" t="s">
        <v>1500</v>
      </c>
      <c r="T268" s="17" t="s">
        <v>43</v>
      </c>
      <c r="U268" s="17">
        <v>3399644</v>
      </c>
      <c r="V268" s="17" t="str">
        <f t="shared" si="18"/>
        <v>09/26/2019</v>
      </c>
      <c r="W268" s="17" t="s">
        <v>44</v>
      </c>
    </row>
    <row r="269" spans="1:24" s="17" customFormat="1" x14ac:dyDescent="0.25">
      <c r="A269" s="17" t="s">
        <v>24</v>
      </c>
      <c r="B269" s="17" t="s">
        <v>1299</v>
      </c>
      <c r="C269" s="17" t="s">
        <v>1501</v>
      </c>
      <c r="D269" s="17" t="s">
        <v>35</v>
      </c>
      <c r="E269" s="17" t="s">
        <v>26</v>
      </c>
      <c r="F269" s="17" t="s">
        <v>26</v>
      </c>
      <c r="G269" s="17" t="s">
        <v>37</v>
      </c>
      <c r="H269" s="18" t="s">
        <v>28</v>
      </c>
      <c r="I269" s="18" t="s">
        <v>36</v>
      </c>
      <c r="J269" s="18" t="str">
        <f t="shared" si="17"/>
        <v>2019</v>
      </c>
      <c r="K269" s="18"/>
      <c r="L269" s="18"/>
      <c r="M269" s="18"/>
      <c r="N269" s="19"/>
      <c r="O269" s="17" t="s">
        <v>1502</v>
      </c>
      <c r="P269" s="17" t="s">
        <v>1503</v>
      </c>
      <c r="Q269" s="17" t="s">
        <v>1305</v>
      </c>
      <c r="R269" s="17" t="s">
        <v>1306</v>
      </c>
      <c r="S269" s="17" t="s">
        <v>1504</v>
      </c>
      <c r="T269" s="17" t="s">
        <v>43</v>
      </c>
      <c r="U269" s="17">
        <v>3399645</v>
      </c>
      <c r="V269" s="17" t="str">
        <f t="shared" si="18"/>
        <v>09/26/2019</v>
      </c>
      <c r="W269" s="17" t="s">
        <v>44</v>
      </c>
    </row>
    <row r="270" spans="1:24" s="17" customFormat="1" x14ac:dyDescent="0.25">
      <c r="A270" s="17" t="s">
        <v>24</v>
      </c>
      <c r="B270" s="17" t="s">
        <v>1299</v>
      </c>
      <c r="C270" s="17" t="s">
        <v>1505</v>
      </c>
      <c r="D270" s="17" t="s">
        <v>35</v>
      </c>
      <c r="E270" s="17" t="s">
        <v>26</v>
      </c>
      <c r="F270" s="17" t="s">
        <v>28</v>
      </c>
      <c r="G270" s="17" t="s">
        <v>1301</v>
      </c>
      <c r="H270" s="18" t="s">
        <v>280</v>
      </c>
      <c r="I270" s="18" t="s">
        <v>36</v>
      </c>
      <c r="J270" s="18" t="str">
        <f t="shared" si="17"/>
        <v>2019</v>
      </c>
      <c r="K270" s="18"/>
      <c r="L270" s="18" t="s">
        <v>37</v>
      </c>
      <c r="M270" s="18" t="s">
        <v>37</v>
      </c>
      <c r="N270" s="19"/>
      <c r="O270" s="17" t="s">
        <v>1506</v>
      </c>
      <c r="P270" s="17" t="s">
        <v>1507</v>
      </c>
      <c r="Q270" s="17" t="s">
        <v>1305</v>
      </c>
      <c r="R270" s="17" t="s">
        <v>1306</v>
      </c>
      <c r="S270" s="17" t="s">
        <v>1508</v>
      </c>
      <c r="T270" s="17" t="s">
        <v>43</v>
      </c>
      <c r="U270" s="17">
        <v>3399646</v>
      </c>
      <c r="V270" s="17" t="str">
        <f t="shared" si="18"/>
        <v>09/26/2019</v>
      </c>
      <c r="W270" s="17" t="s">
        <v>44</v>
      </c>
    </row>
    <row r="271" spans="1:24" s="17" customFormat="1" x14ac:dyDescent="0.25">
      <c r="A271" s="17" t="s">
        <v>24</v>
      </c>
      <c r="B271" s="17" t="s">
        <v>1299</v>
      </c>
      <c r="C271" s="17" t="s">
        <v>1509</v>
      </c>
      <c r="D271" s="17" t="s">
        <v>35</v>
      </c>
      <c r="E271" s="17" t="s">
        <v>26</v>
      </c>
      <c r="F271" s="17" t="s">
        <v>28</v>
      </c>
      <c r="G271" s="17" t="s">
        <v>1301</v>
      </c>
      <c r="H271" s="18" t="s">
        <v>280</v>
      </c>
      <c r="I271" s="18" t="s">
        <v>36</v>
      </c>
      <c r="J271" s="18" t="str">
        <f t="shared" si="17"/>
        <v>2019</v>
      </c>
      <c r="K271" s="18"/>
      <c r="L271" s="18" t="s">
        <v>37</v>
      </c>
      <c r="M271" s="18" t="s">
        <v>37</v>
      </c>
      <c r="N271" s="19"/>
      <c r="O271" s="17" t="s">
        <v>1510</v>
      </c>
      <c r="P271" s="17" t="s">
        <v>1511</v>
      </c>
      <c r="Q271" s="17" t="s">
        <v>1305</v>
      </c>
      <c r="R271" s="17" t="s">
        <v>1306</v>
      </c>
      <c r="S271" s="17" t="s">
        <v>1512</v>
      </c>
      <c r="T271" s="17" t="s">
        <v>43</v>
      </c>
      <c r="U271" s="17">
        <v>3399647</v>
      </c>
      <c r="V271" s="17" t="str">
        <f t="shared" si="18"/>
        <v>09/26/2019</v>
      </c>
      <c r="W271" s="17" t="s">
        <v>44</v>
      </c>
      <c r="X271" s="17" t="s">
        <v>1513</v>
      </c>
    </row>
    <row r="272" spans="1:24" s="17" customFormat="1" hidden="1" x14ac:dyDescent="0.25">
      <c r="A272" s="17" t="s">
        <v>24</v>
      </c>
      <c r="B272" t="s">
        <v>1367</v>
      </c>
      <c r="C272" t="s">
        <v>1514</v>
      </c>
      <c r="D272" t="s">
        <v>107</v>
      </c>
      <c r="E272" t="s">
        <v>28</v>
      </c>
      <c r="F272" t="s">
        <v>28</v>
      </c>
      <c r="G272"/>
      <c r="H272"/>
      <c r="I272" s="3" t="s">
        <v>1369</v>
      </c>
      <c r="J272" s="3" t="str">
        <f t="shared" si="17"/>
        <v>2024</v>
      </c>
      <c r="K272" s="3"/>
      <c r="L272" s="3" t="s">
        <v>37</v>
      </c>
      <c r="M272" s="1" t="s">
        <v>1515</v>
      </c>
      <c r="N272" s="3"/>
      <c r="O272" s="2" t="s">
        <v>1516</v>
      </c>
      <c r="P272" t="s">
        <v>1517</v>
      </c>
      <c r="Q272" t="s">
        <v>1374</v>
      </c>
      <c r="R272" t="s">
        <v>1375</v>
      </c>
      <c r="S272" t="s">
        <v>1518</v>
      </c>
      <c r="T272" t="s">
        <v>43</v>
      </c>
      <c r="U272">
        <v>17231892</v>
      </c>
      <c r="V272" t="str">
        <f t="shared" si="18"/>
        <v>09/13/2024</v>
      </c>
      <c r="W272" t="s">
        <v>44</v>
      </c>
      <c r="X272"/>
    </row>
    <row r="273" spans="1:24" s="17" customFormat="1" x14ac:dyDescent="0.25">
      <c r="A273" s="17" t="s">
        <v>24</v>
      </c>
      <c r="B273" s="17" t="s">
        <v>1299</v>
      </c>
      <c r="C273" s="17" t="s">
        <v>1519</v>
      </c>
      <c r="D273" s="17" t="s">
        <v>35</v>
      </c>
      <c r="E273" s="17" t="s">
        <v>26</v>
      </c>
      <c r="F273" s="17" t="s">
        <v>28</v>
      </c>
      <c r="G273" s="17" t="s">
        <v>1301</v>
      </c>
      <c r="H273" s="18" t="s">
        <v>280</v>
      </c>
      <c r="I273" s="18" t="s">
        <v>36</v>
      </c>
      <c r="J273" s="18" t="str">
        <f t="shared" si="17"/>
        <v>2019</v>
      </c>
      <c r="K273" s="18"/>
      <c r="L273" s="18" t="s">
        <v>37</v>
      </c>
      <c r="M273" s="18" t="s">
        <v>37</v>
      </c>
      <c r="N273" s="19"/>
      <c r="O273" s="17" t="s">
        <v>1520</v>
      </c>
      <c r="P273" s="17" t="s">
        <v>1521</v>
      </c>
      <c r="Q273" s="17" t="s">
        <v>1305</v>
      </c>
      <c r="R273" s="17" t="s">
        <v>1306</v>
      </c>
      <c r="S273" s="17" t="s">
        <v>1522</v>
      </c>
      <c r="T273" s="17" t="s">
        <v>43</v>
      </c>
      <c r="U273" s="17">
        <v>3399649</v>
      </c>
      <c r="V273" s="17" t="str">
        <f t="shared" si="18"/>
        <v>09/26/2019</v>
      </c>
      <c r="W273" s="17" t="s">
        <v>44</v>
      </c>
    </row>
    <row r="274" spans="1:24" s="17" customFormat="1" x14ac:dyDescent="0.25">
      <c r="A274" s="17" t="s">
        <v>24</v>
      </c>
      <c r="B274" s="17" t="s">
        <v>1299</v>
      </c>
      <c r="C274" s="17" t="s">
        <v>1523</v>
      </c>
      <c r="D274" s="17" t="s">
        <v>35</v>
      </c>
      <c r="E274" s="17" t="s">
        <v>26</v>
      </c>
      <c r="F274" s="17" t="s">
        <v>28</v>
      </c>
      <c r="G274" s="17" t="s">
        <v>1301</v>
      </c>
      <c r="H274" s="18" t="s">
        <v>280</v>
      </c>
      <c r="I274" s="18" t="s">
        <v>36</v>
      </c>
      <c r="J274" s="18" t="str">
        <f t="shared" si="17"/>
        <v>2019</v>
      </c>
      <c r="K274" s="18"/>
      <c r="L274" s="18" t="s">
        <v>37</v>
      </c>
      <c r="M274" s="18" t="s">
        <v>37</v>
      </c>
      <c r="N274" s="19"/>
      <c r="O274" s="17" t="s">
        <v>1524</v>
      </c>
      <c r="P274" s="17" t="s">
        <v>1525</v>
      </c>
      <c r="Q274" s="17" t="s">
        <v>1305</v>
      </c>
      <c r="R274" s="17" t="s">
        <v>1306</v>
      </c>
      <c r="S274" s="17" t="s">
        <v>1526</v>
      </c>
      <c r="T274" s="17" t="s">
        <v>43</v>
      </c>
      <c r="U274" s="17">
        <v>3399650</v>
      </c>
      <c r="V274" s="17" t="str">
        <f t="shared" si="18"/>
        <v>09/26/2019</v>
      </c>
      <c r="W274" s="17" t="s">
        <v>44</v>
      </c>
    </row>
    <row r="275" spans="1:24" s="17" customFormat="1" x14ac:dyDescent="0.25">
      <c r="A275" s="17" t="s">
        <v>24</v>
      </c>
      <c r="B275" s="17" t="s">
        <v>1299</v>
      </c>
      <c r="C275" s="17" t="s">
        <v>1527</v>
      </c>
      <c r="D275" s="17" t="s">
        <v>35</v>
      </c>
      <c r="E275" s="17" t="s">
        <v>26</v>
      </c>
      <c r="F275" s="17" t="s">
        <v>26</v>
      </c>
      <c r="G275" s="17" t="s">
        <v>37</v>
      </c>
      <c r="H275" s="18" t="s">
        <v>28</v>
      </c>
      <c r="I275" s="18" t="s">
        <v>36</v>
      </c>
      <c r="J275" s="18" t="str">
        <f t="shared" si="17"/>
        <v>2019</v>
      </c>
      <c r="K275" s="18"/>
      <c r="L275" s="18"/>
      <c r="M275" s="18"/>
      <c r="N275" s="19"/>
      <c r="O275" s="17" t="s">
        <v>1528</v>
      </c>
      <c r="P275" s="17" t="s">
        <v>1529</v>
      </c>
      <c r="Q275" s="17" t="s">
        <v>1305</v>
      </c>
      <c r="R275" s="17" t="s">
        <v>1306</v>
      </c>
      <c r="S275" s="17" t="s">
        <v>1530</v>
      </c>
      <c r="T275" s="17" t="s">
        <v>43</v>
      </c>
      <c r="U275" s="17">
        <v>3399651</v>
      </c>
      <c r="V275" s="17" t="str">
        <f t="shared" si="18"/>
        <v>09/26/2019</v>
      </c>
      <c r="W275" s="17" t="s">
        <v>44</v>
      </c>
    </row>
    <row r="276" spans="1:24" s="17" customFormat="1" x14ac:dyDescent="0.25">
      <c r="A276" s="17" t="s">
        <v>24</v>
      </c>
      <c r="B276" s="17" t="s">
        <v>1299</v>
      </c>
      <c r="C276" s="17" t="s">
        <v>4</v>
      </c>
      <c r="D276" s="17" t="s">
        <v>35</v>
      </c>
      <c r="E276" s="17" t="s">
        <v>26</v>
      </c>
      <c r="F276" s="17" t="s">
        <v>28</v>
      </c>
      <c r="G276" s="17" t="s">
        <v>1301</v>
      </c>
      <c r="H276" s="18" t="s">
        <v>280</v>
      </c>
      <c r="I276" s="18" t="s">
        <v>36</v>
      </c>
      <c r="J276" s="18" t="str">
        <f t="shared" si="17"/>
        <v>2019</v>
      </c>
      <c r="K276" s="18"/>
      <c r="L276" s="18" t="s">
        <v>37</v>
      </c>
      <c r="M276" s="18" t="s">
        <v>37</v>
      </c>
      <c r="N276" s="19"/>
      <c r="O276" s="17" t="s">
        <v>1531</v>
      </c>
      <c r="P276" s="17" t="s">
        <v>1532</v>
      </c>
      <c r="Q276" s="17" t="s">
        <v>1305</v>
      </c>
      <c r="R276" s="17" t="s">
        <v>1306</v>
      </c>
      <c r="S276" s="17" t="s">
        <v>1533</v>
      </c>
      <c r="T276" s="17" t="s">
        <v>43</v>
      </c>
      <c r="U276" s="17">
        <v>3399652</v>
      </c>
      <c r="V276" s="17" t="str">
        <f t="shared" si="18"/>
        <v>09/26/2019</v>
      </c>
      <c r="W276" s="17" t="s">
        <v>44</v>
      </c>
      <c r="X276" s="17" t="s">
        <v>1534</v>
      </c>
    </row>
    <row r="277" spans="1:24" s="17" customFormat="1" x14ac:dyDescent="0.25">
      <c r="A277" s="17" t="s">
        <v>24</v>
      </c>
      <c r="B277" s="17" t="s">
        <v>1299</v>
      </c>
      <c r="C277" s="17" t="s">
        <v>1535</v>
      </c>
      <c r="D277" s="17" t="s">
        <v>35</v>
      </c>
      <c r="E277" s="17" t="s">
        <v>26</v>
      </c>
      <c r="F277" s="17" t="s">
        <v>28</v>
      </c>
      <c r="G277" s="17" t="s">
        <v>1301</v>
      </c>
      <c r="H277" s="18" t="s">
        <v>280</v>
      </c>
      <c r="I277" s="18" t="s">
        <v>36</v>
      </c>
      <c r="J277" s="18" t="str">
        <f t="shared" si="17"/>
        <v>2019</v>
      </c>
      <c r="K277" s="18"/>
      <c r="L277" s="18" t="s">
        <v>37</v>
      </c>
      <c r="M277" s="18" t="s">
        <v>37</v>
      </c>
      <c r="N277" s="19"/>
      <c r="O277" s="17" t="s">
        <v>1536</v>
      </c>
      <c r="P277" s="17" t="s">
        <v>1537</v>
      </c>
      <c r="Q277" s="17" t="s">
        <v>1305</v>
      </c>
      <c r="R277" s="17" t="s">
        <v>1306</v>
      </c>
      <c r="S277" s="17" t="s">
        <v>1538</v>
      </c>
      <c r="T277" s="17" t="s">
        <v>43</v>
      </c>
      <c r="U277" s="17">
        <v>3399653</v>
      </c>
      <c r="V277" s="17" t="str">
        <f t="shared" si="18"/>
        <v>09/26/2019</v>
      </c>
      <c r="W277" s="17" t="s">
        <v>44</v>
      </c>
    </row>
    <row r="278" spans="1:24" s="17" customFormat="1" x14ac:dyDescent="0.25">
      <c r="A278" s="17" t="s">
        <v>24</v>
      </c>
      <c r="B278" s="17" t="s">
        <v>1299</v>
      </c>
      <c r="C278" s="17" t="s">
        <v>1539</v>
      </c>
      <c r="D278" s="17" t="s">
        <v>35</v>
      </c>
      <c r="E278" s="17" t="s">
        <v>26</v>
      </c>
      <c r="F278" s="17" t="s">
        <v>28</v>
      </c>
      <c r="G278" s="17" t="s">
        <v>1301</v>
      </c>
      <c r="H278" s="18" t="s">
        <v>280</v>
      </c>
      <c r="I278" s="18" t="s">
        <v>36</v>
      </c>
      <c r="J278" s="18" t="str">
        <f t="shared" si="17"/>
        <v>2019</v>
      </c>
      <c r="K278" s="18"/>
      <c r="L278" s="18" t="s">
        <v>37</v>
      </c>
      <c r="M278" s="18" t="s">
        <v>37</v>
      </c>
      <c r="N278" s="19"/>
      <c r="O278" s="17" t="s">
        <v>1540</v>
      </c>
      <c r="P278" s="17" t="s">
        <v>1541</v>
      </c>
      <c r="Q278" s="17" t="s">
        <v>1305</v>
      </c>
      <c r="R278" s="17" t="s">
        <v>1306</v>
      </c>
      <c r="S278" s="17" t="s">
        <v>1542</v>
      </c>
      <c r="T278" s="17" t="s">
        <v>43</v>
      </c>
      <c r="U278" s="17">
        <v>3399654</v>
      </c>
      <c r="V278" s="17" t="str">
        <f t="shared" si="18"/>
        <v>09/26/2019</v>
      </c>
      <c r="W278" s="17" t="s">
        <v>44</v>
      </c>
      <c r="X278" s="17" t="s">
        <v>1543</v>
      </c>
    </row>
    <row r="279" spans="1:24" s="17" customFormat="1" x14ac:dyDescent="0.25">
      <c r="A279" s="17" t="s">
        <v>24</v>
      </c>
      <c r="B279" s="17" t="s">
        <v>1299</v>
      </c>
      <c r="C279" s="17" t="s">
        <v>1544</v>
      </c>
      <c r="D279" s="17" t="s">
        <v>35</v>
      </c>
      <c r="E279" s="17" t="s">
        <v>26</v>
      </c>
      <c r="F279" s="17" t="s">
        <v>28</v>
      </c>
      <c r="G279" s="17" t="s">
        <v>1301</v>
      </c>
      <c r="H279" s="18" t="s">
        <v>280</v>
      </c>
      <c r="I279" s="18" t="s">
        <v>36</v>
      </c>
      <c r="J279" s="18" t="str">
        <f t="shared" si="17"/>
        <v>2019</v>
      </c>
      <c r="K279" s="18"/>
      <c r="L279" s="18" t="s">
        <v>37</v>
      </c>
      <c r="M279" s="18" t="s">
        <v>37</v>
      </c>
      <c r="N279" s="19"/>
      <c r="O279" s="17" t="s">
        <v>1545</v>
      </c>
      <c r="P279" s="17" t="s">
        <v>1546</v>
      </c>
      <c r="Q279" s="17" t="s">
        <v>1305</v>
      </c>
      <c r="R279" s="17" t="s">
        <v>1306</v>
      </c>
      <c r="S279" s="17" t="s">
        <v>1547</v>
      </c>
      <c r="T279" s="17" t="s">
        <v>43</v>
      </c>
      <c r="U279" s="17">
        <v>3399655</v>
      </c>
      <c r="V279" s="17" t="str">
        <f t="shared" si="18"/>
        <v>09/26/2019</v>
      </c>
      <c r="W279" s="17" t="s">
        <v>44</v>
      </c>
      <c r="X279" s="17" t="s">
        <v>1548</v>
      </c>
    </row>
    <row r="280" spans="1:24" s="17" customFormat="1" hidden="1" x14ac:dyDescent="0.25">
      <c r="A280" s="17" t="s">
        <v>24</v>
      </c>
      <c r="B280" t="s">
        <v>1367</v>
      </c>
      <c r="C280" t="s">
        <v>1549</v>
      </c>
      <c r="D280" t="s">
        <v>107</v>
      </c>
      <c r="E280" t="s">
        <v>28</v>
      </c>
      <c r="F280" t="s">
        <v>28</v>
      </c>
      <c r="G280"/>
      <c r="H280"/>
      <c r="I280" s="3" t="s">
        <v>1550</v>
      </c>
      <c r="J280" s="3" t="str">
        <f t="shared" si="17"/>
        <v>2021</v>
      </c>
      <c r="K280" s="3"/>
      <c r="L280" s="3" t="s">
        <v>37</v>
      </c>
      <c r="M280" s="1" t="s">
        <v>1551</v>
      </c>
      <c r="N280" s="3"/>
      <c r="O280" s="2" t="s">
        <v>1552</v>
      </c>
      <c r="P280" t="s">
        <v>1553</v>
      </c>
      <c r="Q280" t="s">
        <v>1374</v>
      </c>
      <c r="R280" t="s">
        <v>1375</v>
      </c>
      <c r="S280" t="s">
        <v>1554</v>
      </c>
      <c r="T280" t="s">
        <v>43</v>
      </c>
      <c r="U280">
        <v>17231839</v>
      </c>
      <c r="V280" t="str">
        <f t="shared" si="18"/>
        <v>07/26/2021</v>
      </c>
      <c r="W280" t="s">
        <v>44</v>
      </c>
      <c r="X280"/>
    </row>
    <row r="281" spans="1:24" s="17" customFormat="1" hidden="1" x14ac:dyDescent="0.25">
      <c r="A281" s="17" t="s">
        <v>24</v>
      </c>
      <c r="B281" t="s">
        <v>1367</v>
      </c>
      <c r="C281" t="s">
        <v>1555</v>
      </c>
      <c r="D281" t="s">
        <v>107</v>
      </c>
      <c r="E281" t="s">
        <v>28</v>
      </c>
      <c r="F281" t="s">
        <v>28</v>
      </c>
      <c r="G281"/>
      <c r="H281"/>
      <c r="I281" s="3" t="s">
        <v>1556</v>
      </c>
      <c r="J281" s="3" t="str">
        <f t="shared" si="17"/>
        <v>2020</v>
      </c>
      <c r="K281" s="3"/>
      <c r="L281" s="3" t="s">
        <v>37</v>
      </c>
      <c r="M281" s="1" t="s">
        <v>1557</v>
      </c>
      <c r="N281" s="3"/>
      <c r="O281" s="2" t="s">
        <v>1558</v>
      </c>
      <c r="P281" t="s">
        <v>1559</v>
      </c>
      <c r="Q281" t="s">
        <v>1374</v>
      </c>
      <c r="R281" t="s">
        <v>1375</v>
      </c>
      <c r="S281" t="s">
        <v>1560</v>
      </c>
      <c r="T281" t="s">
        <v>43</v>
      </c>
      <c r="U281">
        <v>17231771</v>
      </c>
      <c r="V281" t="str">
        <f t="shared" si="18"/>
        <v>03/05/2020</v>
      </c>
      <c r="W281" t="s">
        <v>44</v>
      </c>
      <c r="X281"/>
    </row>
    <row r="282" spans="1:24" s="17" customFormat="1" x14ac:dyDescent="0.25">
      <c r="A282" s="17" t="s">
        <v>24</v>
      </c>
      <c r="B282" s="17" t="s">
        <v>1561</v>
      </c>
      <c r="C282" s="17" t="s">
        <v>1562</v>
      </c>
      <c r="D282" s="17" t="s">
        <v>107</v>
      </c>
      <c r="E282" s="17" t="s">
        <v>26</v>
      </c>
      <c r="F282" s="17" t="s">
        <v>26</v>
      </c>
      <c r="G282" s="17" t="s">
        <v>27</v>
      </c>
      <c r="H282" s="18" t="s">
        <v>28</v>
      </c>
      <c r="I282" s="18" t="s">
        <v>1563</v>
      </c>
      <c r="J282" s="18" t="str">
        <f t="shared" si="17"/>
        <v>2021</v>
      </c>
      <c r="K282" s="18"/>
      <c r="L282" s="18"/>
      <c r="M282" s="18"/>
      <c r="N282" s="19"/>
      <c r="O282" s="17" t="s">
        <v>1564</v>
      </c>
      <c r="P282" s="17" t="s">
        <v>1565</v>
      </c>
      <c r="Q282" s="17" t="s">
        <v>1566</v>
      </c>
      <c r="R282" s="17" t="s">
        <v>1567</v>
      </c>
      <c r="S282" s="17" t="s">
        <v>1568</v>
      </c>
      <c r="T282" s="17" t="s">
        <v>43</v>
      </c>
      <c r="U282" s="17">
        <v>10</v>
      </c>
      <c r="V282" s="17" t="str">
        <f t="shared" si="18"/>
        <v>02/02/2021</v>
      </c>
      <c r="W282" s="17" t="s">
        <v>44</v>
      </c>
    </row>
    <row r="283" spans="1:24" hidden="1" x14ac:dyDescent="0.25">
      <c r="A283" s="17" t="s">
        <v>24</v>
      </c>
      <c r="B283" s="17" t="s">
        <v>1367</v>
      </c>
      <c r="C283" s="17" t="s">
        <v>1569</v>
      </c>
      <c r="D283" s="17" t="s">
        <v>35</v>
      </c>
      <c r="E283" s="17" t="s">
        <v>28</v>
      </c>
      <c r="F283" s="17" t="s">
        <v>28</v>
      </c>
      <c r="G283" s="18"/>
      <c r="H283" s="18"/>
      <c r="I283" s="18" t="s">
        <v>36</v>
      </c>
      <c r="J283" s="18" t="str">
        <f t="shared" si="17"/>
        <v>2019</v>
      </c>
      <c r="K283" s="18"/>
      <c r="L283" s="18" t="s">
        <v>37</v>
      </c>
      <c r="M283" s="19" t="s">
        <v>1352</v>
      </c>
      <c r="N283" s="17"/>
      <c r="O283" s="17" t="s">
        <v>1570</v>
      </c>
      <c r="P283" s="17" t="s">
        <v>1571</v>
      </c>
      <c r="Q283" s="17" t="s">
        <v>1374</v>
      </c>
      <c r="R283" s="17" t="s">
        <v>1375</v>
      </c>
      <c r="S283" s="17" t="s">
        <v>1572</v>
      </c>
      <c r="T283" s="17" t="s">
        <v>43</v>
      </c>
      <c r="U283" s="17">
        <v>17231687</v>
      </c>
      <c r="V283" s="17" t="str">
        <f t="shared" si="18"/>
        <v>09/26/2019</v>
      </c>
      <c r="W283" s="17" t="s">
        <v>44</v>
      </c>
      <c r="X283" s="17"/>
    </row>
    <row r="284" spans="1:24" hidden="1" x14ac:dyDescent="0.25">
      <c r="A284" s="17" t="s">
        <v>24</v>
      </c>
      <c r="B284" t="s">
        <v>1356</v>
      </c>
      <c r="C284" t="s">
        <v>1573</v>
      </c>
      <c r="D284" t="s">
        <v>35</v>
      </c>
      <c r="E284" t="s">
        <v>28</v>
      </c>
      <c r="F284" t="s">
        <v>28</v>
      </c>
      <c r="G284" t="s">
        <v>1301</v>
      </c>
      <c r="H284" s="3" t="s">
        <v>26</v>
      </c>
      <c r="I284" s="3" t="s">
        <v>36</v>
      </c>
      <c r="J284" s="3" t="str">
        <f t="shared" si="17"/>
        <v>2019</v>
      </c>
      <c r="K284" s="3"/>
      <c r="L284" s="3"/>
      <c r="M284" s="3" t="s">
        <v>37</v>
      </c>
      <c r="N284" s="2"/>
      <c r="O284" t="s">
        <v>1574</v>
      </c>
      <c r="P284" t="s">
        <v>1575</v>
      </c>
      <c r="Q284" t="s">
        <v>1363</v>
      </c>
      <c r="R284" t="s">
        <v>1364</v>
      </c>
      <c r="S284" t="s">
        <v>1576</v>
      </c>
      <c r="T284" t="s">
        <v>43</v>
      </c>
      <c r="U284">
        <v>130436</v>
      </c>
      <c r="V284" t="str">
        <f t="shared" si="18"/>
        <v>09/26/2019</v>
      </c>
      <c r="W284" t="s">
        <v>44</v>
      </c>
    </row>
    <row r="285" spans="1:24" s="17" customFormat="1" x14ac:dyDescent="0.25">
      <c r="A285" s="17" t="s">
        <v>24</v>
      </c>
      <c r="B285" s="17" t="s">
        <v>1577</v>
      </c>
      <c r="C285" s="17" t="s">
        <v>1578</v>
      </c>
      <c r="D285" s="17" t="s">
        <v>35</v>
      </c>
      <c r="E285" s="17" t="s">
        <v>26</v>
      </c>
      <c r="F285" s="17" t="s">
        <v>28</v>
      </c>
      <c r="G285" s="17" t="s">
        <v>1301</v>
      </c>
      <c r="H285" s="18" t="s">
        <v>280</v>
      </c>
      <c r="I285" s="18" t="s">
        <v>36</v>
      </c>
      <c r="J285" s="18" t="str">
        <f t="shared" si="17"/>
        <v>2019</v>
      </c>
      <c r="K285" s="18"/>
      <c r="L285" s="18" t="s">
        <v>37</v>
      </c>
      <c r="M285" s="18" t="s">
        <v>37</v>
      </c>
      <c r="N285" s="19"/>
      <c r="O285" s="17" t="s">
        <v>1579</v>
      </c>
      <c r="P285" s="17" t="s">
        <v>1580</v>
      </c>
      <c r="Q285" s="17" t="s">
        <v>1581</v>
      </c>
      <c r="R285" s="17" t="s">
        <v>1582</v>
      </c>
      <c r="S285" s="17" t="s">
        <v>1583</v>
      </c>
      <c r="T285" s="17" t="s">
        <v>43</v>
      </c>
      <c r="U285" s="17">
        <v>210302</v>
      </c>
      <c r="V285" s="17" t="str">
        <f t="shared" si="18"/>
        <v>09/26/2019</v>
      </c>
      <c r="W285" s="17" t="s">
        <v>44</v>
      </c>
    </row>
    <row r="286" spans="1:24" s="17" customFormat="1" x14ac:dyDescent="0.25">
      <c r="A286" s="17" t="s">
        <v>24</v>
      </c>
      <c r="B286" s="17" t="s">
        <v>1577</v>
      </c>
      <c r="C286" s="17" t="s">
        <v>1584</v>
      </c>
      <c r="D286" s="17" t="s">
        <v>35</v>
      </c>
      <c r="E286" s="17" t="s">
        <v>26</v>
      </c>
      <c r="F286" s="17" t="s">
        <v>28</v>
      </c>
      <c r="G286" s="17" t="s">
        <v>1301</v>
      </c>
      <c r="H286" s="18" t="s">
        <v>280</v>
      </c>
      <c r="I286" s="18" t="s">
        <v>36</v>
      </c>
      <c r="J286" s="18" t="str">
        <f t="shared" si="17"/>
        <v>2019</v>
      </c>
      <c r="K286" s="18"/>
      <c r="L286" s="18" t="s">
        <v>37</v>
      </c>
      <c r="M286" s="18" t="s">
        <v>37</v>
      </c>
      <c r="N286" s="19"/>
      <c r="O286" s="17" t="s">
        <v>1585</v>
      </c>
      <c r="P286" s="17" t="s">
        <v>1586</v>
      </c>
      <c r="Q286" s="17" t="s">
        <v>1581</v>
      </c>
      <c r="R286" s="17" t="s">
        <v>1582</v>
      </c>
      <c r="S286" s="17" t="s">
        <v>1587</v>
      </c>
      <c r="T286" s="17" t="s">
        <v>43</v>
      </c>
      <c r="U286" s="17">
        <v>210303</v>
      </c>
      <c r="V286" s="17" t="str">
        <f t="shared" si="18"/>
        <v>09/26/2019</v>
      </c>
      <c r="W286" s="17" t="s">
        <v>44</v>
      </c>
    </row>
    <row r="287" spans="1:24" s="17" customFormat="1" x14ac:dyDescent="0.25">
      <c r="A287" s="17" t="s">
        <v>24</v>
      </c>
      <c r="B287" s="17" t="s">
        <v>1577</v>
      </c>
      <c r="C287" s="17" t="s">
        <v>1588</v>
      </c>
      <c r="D287" s="17" t="s">
        <v>35</v>
      </c>
      <c r="E287" s="17" t="s">
        <v>26</v>
      </c>
      <c r="F287" s="17" t="s">
        <v>28</v>
      </c>
      <c r="G287" s="17" t="s">
        <v>1301</v>
      </c>
      <c r="H287" s="18" t="s">
        <v>280</v>
      </c>
      <c r="I287" s="18" t="s">
        <v>36</v>
      </c>
      <c r="J287" s="18" t="str">
        <f t="shared" si="17"/>
        <v>2019</v>
      </c>
      <c r="K287" s="18"/>
      <c r="L287" s="18" t="s">
        <v>37</v>
      </c>
      <c r="M287" s="18" t="s">
        <v>37</v>
      </c>
      <c r="N287" s="19"/>
      <c r="O287" s="17" t="s">
        <v>1589</v>
      </c>
      <c r="P287" s="17" t="s">
        <v>1590</v>
      </c>
      <c r="Q287" s="17" t="s">
        <v>1581</v>
      </c>
      <c r="R287" s="17" t="s">
        <v>1582</v>
      </c>
      <c r="S287" s="17" t="s">
        <v>1591</v>
      </c>
      <c r="T287" s="17" t="s">
        <v>43</v>
      </c>
      <c r="U287" s="17">
        <v>210304</v>
      </c>
      <c r="V287" s="17" t="str">
        <f t="shared" si="18"/>
        <v>09/26/2019</v>
      </c>
      <c r="W287" s="17" t="s">
        <v>44</v>
      </c>
    </row>
    <row r="288" spans="1:24" s="17" customFormat="1" x14ac:dyDescent="0.25">
      <c r="A288" s="17" t="s">
        <v>24</v>
      </c>
      <c r="B288" s="17" t="s">
        <v>1577</v>
      </c>
      <c r="C288" s="17" t="s">
        <v>1592</v>
      </c>
      <c r="D288" s="17" t="s">
        <v>35</v>
      </c>
      <c r="E288" s="17" t="s">
        <v>26</v>
      </c>
      <c r="F288" s="17" t="s">
        <v>28</v>
      </c>
      <c r="G288" s="17" t="s">
        <v>1301</v>
      </c>
      <c r="H288" s="18" t="s">
        <v>280</v>
      </c>
      <c r="I288" s="18" t="s">
        <v>36</v>
      </c>
      <c r="J288" s="18" t="str">
        <f t="shared" si="17"/>
        <v>2019</v>
      </c>
      <c r="K288" s="18"/>
      <c r="L288" s="18" t="s">
        <v>37</v>
      </c>
      <c r="M288" s="18" t="s">
        <v>37</v>
      </c>
      <c r="N288" s="19"/>
      <c r="O288" s="17" t="s">
        <v>1593</v>
      </c>
      <c r="P288" s="17" t="s">
        <v>1594</v>
      </c>
      <c r="Q288" s="17" t="s">
        <v>1581</v>
      </c>
      <c r="R288" s="17" t="s">
        <v>1582</v>
      </c>
      <c r="S288" s="17" t="s">
        <v>1595</v>
      </c>
      <c r="T288" s="17" t="s">
        <v>43</v>
      </c>
      <c r="U288" s="17">
        <v>210305</v>
      </c>
      <c r="V288" s="17" t="str">
        <f t="shared" si="18"/>
        <v>09/26/2019</v>
      </c>
      <c r="W288" s="17" t="s">
        <v>44</v>
      </c>
    </row>
    <row r="289" spans="1:24" s="17" customFormat="1" x14ac:dyDescent="0.25">
      <c r="A289" s="17" t="s">
        <v>24</v>
      </c>
      <c r="B289" s="17" t="s">
        <v>1577</v>
      </c>
      <c r="C289" s="17" t="s">
        <v>1596</v>
      </c>
      <c r="D289" s="17" t="s">
        <v>35</v>
      </c>
      <c r="E289" s="17" t="s">
        <v>26</v>
      </c>
      <c r="F289" s="17" t="s">
        <v>28</v>
      </c>
      <c r="G289" s="17" t="s">
        <v>1301</v>
      </c>
      <c r="H289" s="18" t="s">
        <v>280</v>
      </c>
      <c r="I289" s="18" t="s">
        <v>36</v>
      </c>
      <c r="J289" s="18" t="str">
        <f t="shared" si="17"/>
        <v>2019</v>
      </c>
      <c r="K289" s="18"/>
      <c r="L289" s="18" t="s">
        <v>37</v>
      </c>
      <c r="M289" s="18" t="s">
        <v>37</v>
      </c>
      <c r="N289" s="19"/>
      <c r="O289" s="17" t="s">
        <v>1597</v>
      </c>
      <c r="P289" s="17" t="s">
        <v>1598</v>
      </c>
      <c r="Q289" s="17" t="s">
        <v>1581</v>
      </c>
      <c r="R289" s="17" t="s">
        <v>1582</v>
      </c>
      <c r="S289" s="17" t="s">
        <v>1599</v>
      </c>
      <c r="T289" s="17" t="s">
        <v>43</v>
      </c>
      <c r="U289" s="17">
        <v>210306</v>
      </c>
      <c r="V289" s="17" t="str">
        <f t="shared" si="18"/>
        <v>09/26/2019</v>
      </c>
      <c r="W289" s="17" t="s">
        <v>44</v>
      </c>
    </row>
    <row r="290" spans="1:24" s="17" customFormat="1" x14ac:dyDescent="0.25">
      <c r="A290" s="17" t="s">
        <v>24</v>
      </c>
      <c r="B290" s="17" t="s">
        <v>1577</v>
      </c>
      <c r="C290" s="17" t="s">
        <v>1600</v>
      </c>
      <c r="D290" s="17" t="s">
        <v>35</v>
      </c>
      <c r="E290" s="17" t="s">
        <v>26</v>
      </c>
      <c r="F290" s="17" t="s">
        <v>28</v>
      </c>
      <c r="G290" s="17" t="s">
        <v>1301</v>
      </c>
      <c r="H290" s="18" t="s">
        <v>280</v>
      </c>
      <c r="I290" s="18" t="s">
        <v>36</v>
      </c>
      <c r="J290" s="18" t="str">
        <f t="shared" si="17"/>
        <v>2019</v>
      </c>
      <c r="K290" s="18"/>
      <c r="L290" s="18" t="s">
        <v>37</v>
      </c>
      <c r="M290" s="18" t="s">
        <v>37</v>
      </c>
      <c r="N290" s="19"/>
      <c r="O290" s="17" t="s">
        <v>1601</v>
      </c>
      <c r="P290" s="17" t="s">
        <v>1602</v>
      </c>
      <c r="Q290" s="17" t="s">
        <v>1581</v>
      </c>
      <c r="R290" s="17" t="s">
        <v>1582</v>
      </c>
      <c r="S290" s="17" t="s">
        <v>1603</v>
      </c>
      <c r="T290" s="17" t="s">
        <v>43</v>
      </c>
      <c r="U290" s="17">
        <v>210307</v>
      </c>
      <c r="V290" s="17" t="str">
        <f t="shared" si="18"/>
        <v>09/26/2019</v>
      </c>
      <c r="W290" s="17" t="s">
        <v>44</v>
      </c>
    </row>
    <row r="291" spans="1:24" s="17" customFormat="1" x14ac:dyDescent="0.25">
      <c r="A291" s="17" t="s">
        <v>24</v>
      </c>
      <c r="B291" s="17" t="s">
        <v>1577</v>
      </c>
      <c r="C291" s="17" t="s">
        <v>1604</v>
      </c>
      <c r="D291" s="17" t="s">
        <v>35</v>
      </c>
      <c r="E291" s="17" t="s">
        <v>26</v>
      </c>
      <c r="F291" s="17" t="s">
        <v>28</v>
      </c>
      <c r="G291" s="17" t="s">
        <v>1301</v>
      </c>
      <c r="H291" s="18" t="s">
        <v>280</v>
      </c>
      <c r="I291" s="18" t="s">
        <v>36</v>
      </c>
      <c r="J291" s="18" t="str">
        <f t="shared" si="17"/>
        <v>2019</v>
      </c>
      <c r="K291" s="18"/>
      <c r="L291" s="18" t="s">
        <v>37</v>
      </c>
      <c r="M291" s="18" t="s">
        <v>37</v>
      </c>
      <c r="N291" s="19"/>
      <c r="O291" s="17" t="s">
        <v>1605</v>
      </c>
      <c r="P291" s="17" t="s">
        <v>1606</v>
      </c>
      <c r="Q291" s="17" t="s">
        <v>1581</v>
      </c>
      <c r="R291" s="17" t="s">
        <v>1582</v>
      </c>
      <c r="S291" s="17" t="s">
        <v>1607</v>
      </c>
      <c r="T291" s="17" t="s">
        <v>43</v>
      </c>
      <c r="U291" s="17">
        <v>210308</v>
      </c>
      <c r="V291" s="17" t="str">
        <f t="shared" si="18"/>
        <v>09/26/2019</v>
      </c>
      <c r="W291" s="17" t="s">
        <v>44</v>
      </c>
    </row>
    <row r="292" spans="1:24" s="17" customFormat="1" x14ac:dyDescent="0.25">
      <c r="A292" s="17" t="s">
        <v>24</v>
      </c>
      <c r="B292" s="17" t="s">
        <v>1577</v>
      </c>
      <c r="C292" s="17" t="s">
        <v>1608</v>
      </c>
      <c r="D292" s="17" t="s">
        <v>35</v>
      </c>
      <c r="E292" s="17" t="s">
        <v>26</v>
      </c>
      <c r="F292" s="17" t="s">
        <v>28</v>
      </c>
      <c r="G292" s="17" t="s">
        <v>1301</v>
      </c>
      <c r="H292" s="18" t="s">
        <v>280</v>
      </c>
      <c r="I292" s="18" t="s">
        <v>36</v>
      </c>
      <c r="J292" s="18" t="str">
        <f t="shared" si="17"/>
        <v>2019</v>
      </c>
      <c r="K292" s="18"/>
      <c r="L292" s="18" t="s">
        <v>37</v>
      </c>
      <c r="M292" s="18" t="s">
        <v>37</v>
      </c>
      <c r="N292" s="19"/>
      <c r="O292" s="17" t="s">
        <v>1609</v>
      </c>
      <c r="P292" s="17" t="s">
        <v>1610</v>
      </c>
      <c r="Q292" s="17" t="s">
        <v>1581</v>
      </c>
      <c r="R292" s="17" t="s">
        <v>1582</v>
      </c>
      <c r="S292" s="17" t="s">
        <v>1611</v>
      </c>
      <c r="T292" s="17" t="s">
        <v>43</v>
      </c>
      <c r="U292" s="17">
        <v>210309</v>
      </c>
      <c r="V292" s="17" t="str">
        <f t="shared" si="18"/>
        <v>09/26/2019</v>
      </c>
      <c r="W292" s="17" t="s">
        <v>44</v>
      </c>
    </row>
    <row r="293" spans="1:24" s="17" customFormat="1" x14ac:dyDescent="0.25">
      <c r="A293" s="17" t="s">
        <v>24</v>
      </c>
      <c r="B293" s="17" t="s">
        <v>1577</v>
      </c>
      <c r="C293" s="17" t="s">
        <v>1612</v>
      </c>
      <c r="D293" s="17" t="s">
        <v>35</v>
      </c>
      <c r="E293" s="17" t="s">
        <v>26</v>
      </c>
      <c r="F293" s="17" t="s">
        <v>28</v>
      </c>
      <c r="G293" s="17" t="s">
        <v>1301</v>
      </c>
      <c r="H293" s="18" t="s">
        <v>280</v>
      </c>
      <c r="I293" s="18" t="s">
        <v>36</v>
      </c>
      <c r="J293" s="18" t="str">
        <f t="shared" si="17"/>
        <v>2019</v>
      </c>
      <c r="K293" s="18"/>
      <c r="L293" s="18" t="s">
        <v>37</v>
      </c>
      <c r="M293" s="18" t="s">
        <v>37</v>
      </c>
      <c r="N293" s="19"/>
      <c r="O293" s="17" t="s">
        <v>1613</v>
      </c>
      <c r="P293" s="17" t="s">
        <v>1614</v>
      </c>
      <c r="Q293" s="17" t="s">
        <v>1581</v>
      </c>
      <c r="R293" s="17" t="s">
        <v>1582</v>
      </c>
      <c r="S293" s="17" t="s">
        <v>1615</v>
      </c>
      <c r="T293" s="17" t="s">
        <v>43</v>
      </c>
      <c r="U293" s="17">
        <v>210310</v>
      </c>
      <c r="V293" s="17" t="str">
        <f t="shared" si="18"/>
        <v>09/26/2019</v>
      </c>
      <c r="W293" s="17" t="s">
        <v>44</v>
      </c>
    </row>
    <row r="294" spans="1:24" s="17" customFormat="1" x14ac:dyDescent="0.25">
      <c r="A294" s="17" t="s">
        <v>24</v>
      </c>
      <c r="B294" s="17" t="s">
        <v>1577</v>
      </c>
      <c r="C294" s="17" t="s">
        <v>1616</v>
      </c>
      <c r="D294" s="17" t="s">
        <v>35</v>
      </c>
      <c r="E294" s="17" t="s">
        <v>26</v>
      </c>
      <c r="F294" s="17" t="s">
        <v>28</v>
      </c>
      <c r="G294" s="17" t="s">
        <v>1301</v>
      </c>
      <c r="H294" s="18" t="s">
        <v>280</v>
      </c>
      <c r="I294" s="18" t="s">
        <v>36</v>
      </c>
      <c r="J294" s="18" t="str">
        <f t="shared" si="17"/>
        <v>2019</v>
      </c>
      <c r="K294" s="18"/>
      <c r="L294" s="18" t="s">
        <v>37</v>
      </c>
      <c r="M294" s="18" t="s">
        <v>37</v>
      </c>
      <c r="N294" s="19"/>
      <c r="O294" s="17" t="s">
        <v>1617</v>
      </c>
      <c r="P294" s="17" t="s">
        <v>1618</v>
      </c>
      <c r="Q294" s="17" t="s">
        <v>1581</v>
      </c>
      <c r="R294" s="17" t="s">
        <v>1582</v>
      </c>
      <c r="S294" s="17" t="s">
        <v>1619</v>
      </c>
      <c r="T294" s="17" t="s">
        <v>43</v>
      </c>
      <c r="U294" s="17">
        <v>210311</v>
      </c>
      <c r="V294" s="17" t="str">
        <f t="shared" si="18"/>
        <v>09/26/2019</v>
      </c>
      <c r="W294" s="17" t="s">
        <v>44</v>
      </c>
    </row>
    <row r="295" spans="1:24" s="17" customFormat="1" x14ac:dyDescent="0.25">
      <c r="A295" s="17" t="s">
        <v>24</v>
      </c>
      <c r="B295" s="17" t="s">
        <v>1577</v>
      </c>
      <c r="C295" s="17" t="s">
        <v>1620</v>
      </c>
      <c r="D295" s="17" t="s">
        <v>35</v>
      </c>
      <c r="E295" s="17" t="s">
        <v>26</v>
      </c>
      <c r="F295" s="17" t="s">
        <v>28</v>
      </c>
      <c r="G295" s="17" t="s">
        <v>1301</v>
      </c>
      <c r="H295" s="18" t="s">
        <v>280</v>
      </c>
      <c r="I295" s="18" t="s">
        <v>36</v>
      </c>
      <c r="J295" s="18" t="str">
        <f t="shared" si="17"/>
        <v>2019</v>
      </c>
      <c r="K295" s="18"/>
      <c r="L295" s="18" t="s">
        <v>37</v>
      </c>
      <c r="M295" s="18" t="s">
        <v>37</v>
      </c>
      <c r="N295" s="19"/>
      <c r="O295" s="17" t="s">
        <v>1621</v>
      </c>
      <c r="P295" s="17" t="s">
        <v>1622</v>
      </c>
      <c r="Q295" s="17" t="s">
        <v>1581</v>
      </c>
      <c r="R295" s="17" t="s">
        <v>1582</v>
      </c>
      <c r="S295" s="17" t="s">
        <v>1623</v>
      </c>
      <c r="T295" s="17" t="s">
        <v>43</v>
      </c>
      <c r="U295" s="17">
        <v>210312</v>
      </c>
      <c r="V295" s="17" t="str">
        <f t="shared" si="18"/>
        <v>09/26/2019</v>
      </c>
      <c r="W295" s="17" t="s">
        <v>44</v>
      </c>
    </row>
    <row r="296" spans="1:24" s="17" customFormat="1" x14ac:dyDescent="0.25">
      <c r="A296" s="17" t="s">
        <v>24</v>
      </c>
      <c r="B296" s="17" t="s">
        <v>1577</v>
      </c>
      <c r="C296" s="17" t="s">
        <v>1624</v>
      </c>
      <c r="D296" s="17" t="s">
        <v>35</v>
      </c>
      <c r="E296" s="17" t="s">
        <v>26</v>
      </c>
      <c r="F296" s="17" t="s">
        <v>28</v>
      </c>
      <c r="G296" s="17" t="s">
        <v>1301</v>
      </c>
      <c r="H296" s="18" t="s">
        <v>280</v>
      </c>
      <c r="I296" s="18" t="s">
        <v>36</v>
      </c>
      <c r="J296" s="18" t="str">
        <f t="shared" si="17"/>
        <v>2019</v>
      </c>
      <c r="K296" s="18"/>
      <c r="L296" s="18" t="s">
        <v>37</v>
      </c>
      <c r="M296" s="18" t="s">
        <v>37</v>
      </c>
      <c r="N296" s="19"/>
      <c r="O296" s="17" t="s">
        <v>1625</v>
      </c>
      <c r="P296" s="17" t="s">
        <v>1626</v>
      </c>
      <c r="Q296" s="17" t="s">
        <v>1581</v>
      </c>
      <c r="R296" s="17" t="s">
        <v>1582</v>
      </c>
      <c r="S296" s="17" t="s">
        <v>1627</v>
      </c>
      <c r="T296" s="17" t="s">
        <v>43</v>
      </c>
      <c r="U296" s="17">
        <v>210313</v>
      </c>
      <c r="V296" s="17" t="str">
        <f t="shared" si="18"/>
        <v>09/26/2019</v>
      </c>
      <c r="W296" s="17" t="s">
        <v>44</v>
      </c>
    </row>
    <row r="297" spans="1:24" s="17" customFormat="1" x14ac:dyDescent="0.25">
      <c r="A297" s="17" t="s">
        <v>24</v>
      </c>
      <c r="B297" s="17" t="s">
        <v>1577</v>
      </c>
      <c r="C297" s="17" t="s">
        <v>1628</v>
      </c>
      <c r="D297" s="17" t="s">
        <v>35</v>
      </c>
      <c r="E297" s="17" t="s">
        <v>26</v>
      </c>
      <c r="F297" s="17" t="s">
        <v>28</v>
      </c>
      <c r="G297" s="17" t="s">
        <v>1301</v>
      </c>
      <c r="H297" s="18" t="s">
        <v>280</v>
      </c>
      <c r="I297" s="18" t="s">
        <v>36</v>
      </c>
      <c r="J297" s="18" t="str">
        <f t="shared" si="17"/>
        <v>2019</v>
      </c>
      <c r="K297" s="18"/>
      <c r="L297" s="18" t="s">
        <v>37</v>
      </c>
      <c r="M297" s="18" t="s">
        <v>37</v>
      </c>
      <c r="N297" s="19"/>
      <c r="O297" s="17" t="s">
        <v>1629</v>
      </c>
      <c r="P297" s="17" t="s">
        <v>1630</v>
      </c>
      <c r="Q297" s="17" t="s">
        <v>1581</v>
      </c>
      <c r="R297" s="17" t="s">
        <v>1582</v>
      </c>
      <c r="S297" s="17" t="s">
        <v>1631</v>
      </c>
      <c r="T297" s="17" t="s">
        <v>43</v>
      </c>
      <c r="U297" s="17">
        <v>210314</v>
      </c>
      <c r="V297" s="17" t="str">
        <f t="shared" si="18"/>
        <v>09/26/2019</v>
      </c>
      <c r="W297" s="17" t="s">
        <v>44</v>
      </c>
    </row>
    <row r="298" spans="1:24" s="17" customFormat="1" x14ac:dyDescent="0.25">
      <c r="A298" s="17" t="s">
        <v>24</v>
      </c>
      <c r="B298" s="17" t="s">
        <v>1577</v>
      </c>
      <c r="C298" s="17" t="s">
        <v>1632</v>
      </c>
      <c r="D298" s="17" t="s">
        <v>35</v>
      </c>
      <c r="E298" s="17" t="s">
        <v>26</v>
      </c>
      <c r="F298" s="17" t="s">
        <v>28</v>
      </c>
      <c r="G298" s="17" t="s">
        <v>1301</v>
      </c>
      <c r="H298" s="18" t="s">
        <v>280</v>
      </c>
      <c r="I298" s="18" t="s">
        <v>36</v>
      </c>
      <c r="J298" s="18" t="str">
        <f t="shared" si="17"/>
        <v>2019</v>
      </c>
      <c r="K298" s="18"/>
      <c r="L298" s="18" t="s">
        <v>37</v>
      </c>
      <c r="M298" s="18" t="s">
        <v>37</v>
      </c>
      <c r="N298" s="19"/>
      <c r="O298" s="17" t="s">
        <v>1633</v>
      </c>
      <c r="P298" s="17" t="s">
        <v>1634</v>
      </c>
      <c r="Q298" s="17" t="s">
        <v>1581</v>
      </c>
      <c r="R298" s="17" t="s">
        <v>1582</v>
      </c>
      <c r="S298" s="17" t="s">
        <v>1635</v>
      </c>
      <c r="T298" s="17" t="s">
        <v>43</v>
      </c>
      <c r="U298" s="17">
        <v>210315</v>
      </c>
      <c r="V298" s="17" t="str">
        <f t="shared" si="18"/>
        <v>09/26/2019</v>
      </c>
      <c r="W298" s="17" t="s">
        <v>44</v>
      </c>
    </row>
    <row r="299" spans="1:24" s="17" customFormat="1" x14ac:dyDescent="0.25">
      <c r="A299" s="17" t="s">
        <v>24</v>
      </c>
      <c r="B299" s="17" t="s">
        <v>1577</v>
      </c>
      <c r="C299" s="17" t="s">
        <v>1636</v>
      </c>
      <c r="D299" s="17" t="s">
        <v>35</v>
      </c>
      <c r="E299" s="17" t="s">
        <v>26</v>
      </c>
      <c r="F299" s="17" t="s">
        <v>28</v>
      </c>
      <c r="G299" s="17" t="s">
        <v>1301</v>
      </c>
      <c r="H299" s="18" t="s">
        <v>280</v>
      </c>
      <c r="I299" s="18" t="s">
        <v>36</v>
      </c>
      <c r="J299" s="18" t="str">
        <f t="shared" si="17"/>
        <v>2019</v>
      </c>
      <c r="K299" s="18"/>
      <c r="L299" s="18" t="s">
        <v>37</v>
      </c>
      <c r="M299" s="18" t="s">
        <v>37</v>
      </c>
      <c r="N299" s="19"/>
      <c r="O299" s="17" t="s">
        <v>1637</v>
      </c>
      <c r="P299" s="17" t="s">
        <v>1638</v>
      </c>
      <c r="Q299" s="17" t="s">
        <v>1581</v>
      </c>
      <c r="R299" s="17" t="s">
        <v>1582</v>
      </c>
      <c r="S299" s="17" t="s">
        <v>1639</v>
      </c>
      <c r="T299" s="17" t="s">
        <v>43</v>
      </c>
      <c r="U299" s="17">
        <v>210316</v>
      </c>
      <c r="V299" s="17" t="str">
        <f t="shared" si="18"/>
        <v>09/26/2019</v>
      </c>
      <c r="W299" s="17" t="s">
        <v>44</v>
      </c>
    </row>
    <row r="300" spans="1:24" s="17" customFormat="1" x14ac:dyDescent="0.25">
      <c r="A300" s="17" t="s">
        <v>24</v>
      </c>
      <c r="B300" s="17" t="s">
        <v>1577</v>
      </c>
      <c r="C300" s="17" t="s">
        <v>1640</v>
      </c>
      <c r="D300" s="17" t="s">
        <v>35</v>
      </c>
      <c r="E300" s="17" t="s">
        <v>26</v>
      </c>
      <c r="F300" s="17" t="s">
        <v>28</v>
      </c>
      <c r="G300" s="17" t="s">
        <v>1301</v>
      </c>
      <c r="H300" s="18" t="s">
        <v>280</v>
      </c>
      <c r="I300" s="18" t="s">
        <v>36</v>
      </c>
      <c r="J300" s="18" t="str">
        <f t="shared" si="17"/>
        <v>2019</v>
      </c>
      <c r="K300" s="18"/>
      <c r="L300" s="18" t="s">
        <v>37</v>
      </c>
      <c r="M300" s="18" t="s">
        <v>37</v>
      </c>
      <c r="N300" s="19"/>
      <c r="O300" s="17" t="s">
        <v>1641</v>
      </c>
      <c r="P300" s="17" t="s">
        <v>1642</v>
      </c>
      <c r="Q300" s="17" t="s">
        <v>1581</v>
      </c>
      <c r="R300" s="17" t="s">
        <v>1582</v>
      </c>
      <c r="S300" s="17" t="s">
        <v>1643</v>
      </c>
      <c r="T300" s="17" t="s">
        <v>43</v>
      </c>
      <c r="U300" s="17">
        <v>210317</v>
      </c>
      <c r="V300" s="17" t="str">
        <f t="shared" si="18"/>
        <v>09/26/2019</v>
      </c>
      <c r="W300" s="17" t="s">
        <v>44</v>
      </c>
    </row>
    <row r="301" spans="1:24" s="17" customFormat="1" x14ac:dyDescent="0.25">
      <c r="A301" s="17" t="s">
        <v>24</v>
      </c>
      <c r="B301" s="17" t="s">
        <v>1577</v>
      </c>
      <c r="C301" s="17" t="s">
        <v>1644</v>
      </c>
      <c r="D301" s="17" t="s">
        <v>35</v>
      </c>
      <c r="E301" s="17" t="s">
        <v>26</v>
      </c>
      <c r="F301" s="17" t="s">
        <v>28</v>
      </c>
      <c r="G301" s="17" t="s">
        <v>1301</v>
      </c>
      <c r="H301" s="18" t="s">
        <v>280</v>
      </c>
      <c r="I301" s="18" t="s">
        <v>36</v>
      </c>
      <c r="J301" s="18" t="str">
        <f t="shared" si="17"/>
        <v>2019</v>
      </c>
      <c r="K301" s="18"/>
      <c r="L301" s="18" t="s">
        <v>37</v>
      </c>
      <c r="M301" s="18" t="s">
        <v>37</v>
      </c>
      <c r="N301" s="19"/>
      <c r="O301" s="17" t="s">
        <v>1645</v>
      </c>
      <c r="P301" s="17" t="s">
        <v>1646</v>
      </c>
      <c r="Q301" s="17" t="s">
        <v>1581</v>
      </c>
      <c r="R301" s="17" t="s">
        <v>1582</v>
      </c>
      <c r="S301" s="17" t="s">
        <v>1647</v>
      </c>
      <c r="T301" s="17" t="s">
        <v>43</v>
      </c>
      <c r="U301" s="17">
        <v>210318</v>
      </c>
      <c r="V301" s="17" t="str">
        <f t="shared" si="18"/>
        <v>09/26/2019</v>
      </c>
      <c r="W301" s="17" t="s">
        <v>44</v>
      </c>
    </row>
    <row r="302" spans="1:24" s="17" customFormat="1" x14ac:dyDescent="0.25">
      <c r="A302" s="17" t="s">
        <v>24</v>
      </c>
      <c r="B302" s="17" t="s">
        <v>1577</v>
      </c>
      <c r="C302" s="17" t="s">
        <v>1648</v>
      </c>
      <c r="D302" s="17" t="s">
        <v>35</v>
      </c>
      <c r="E302" s="17" t="s">
        <v>26</v>
      </c>
      <c r="F302" s="17" t="s">
        <v>28</v>
      </c>
      <c r="G302" s="17" t="s">
        <v>1301</v>
      </c>
      <c r="H302" s="18" t="s">
        <v>280</v>
      </c>
      <c r="I302" s="18" t="s">
        <v>36</v>
      </c>
      <c r="J302" s="18" t="str">
        <f t="shared" si="17"/>
        <v>2019</v>
      </c>
      <c r="K302" s="18"/>
      <c r="L302" s="18" t="s">
        <v>37</v>
      </c>
      <c r="M302" s="18" t="s">
        <v>37</v>
      </c>
      <c r="N302" s="19"/>
      <c r="O302" s="17" t="s">
        <v>1649</v>
      </c>
      <c r="P302" s="17" t="s">
        <v>1650</v>
      </c>
      <c r="Q302" s="17" t="s">
        <v>1581</v>
      </c>
      <c r="R302" s="17" t="s">
        <v>1582</v>
      </c>
      <c r="S302" s="17" t="s">
        <v>1651</v>
      </c>
      <c r="T302" s="17" t="s">
        <v>43</v>
      </c>
      <c r="U302" s="17">
        <v>210319</v>
      </c>
      <c r="V302" s="17" t="str">
        <f t="shared" si="18"/>
        <v>09/26/2019</v>
      </c>
      <c r="W302" s="17" t="s">
        <v>44</v>
      </c>
    </row>
    <row r="303" spans="1:24" s="17" customFormat="1" x14ac:dyDescent="0.25">
      <c r="A303" s="17" t="s">
        <v>24</v>
      </c>
      <c r="B303" s="17" t="s">
        <v>1577</v>
      </c>
      <c r="C303" s="17" t="s">
        <v>1652</v>
      </c>
      <c r="D303" s="17" t="s">
        <v>35</v>
      </c>
      <c r="E303" s="17" t="s">
        <v>26</v>
      </c>
      <c r="F303" s="17" t="s">
        <v>28</v>
      </c>
      <c r="G303" s="17" t="s">
        <v>1301</v>
      </c>
      <c r="H303" s="18" t="s">
        <v>280</v>
      </c>
      <c r="I303" s="18" t="s">
        <v>36</v>
      </c>
      <c r="J303" s="18" t="str">
        <f t="shared" si="17"/>
        <v>2019</v>
      </c>
      <c r="K303" s="18"/>
      <c r="L303" s="18" t="s">
        <v>37</v>
      </c>
      <c r="M303" s="18" t="s">
        <v>37</v>
      </c>
      <c r="N303" s="19"/>
      <c r="O303" s="17" t="s">
        <v>1653</v>
      </c>
      <c r="P303" s="17" t="s">
        <v>1654</v>
      </c>
      <c r="Q303" s="17" t="s">
        <v>1581</v>
      </c>
      <c r="R303" s="17" t="s">
        <v>1582</v>
      </c>
      <c r="S303" s="17" t="s">
        <v>1655</v>
      </c>
      <c r="T303" s="17" t="s">
        <v>43</v>
      </c>
      <c r="U303" s="17">
        <v>210320</v>
      </c>
      <c r="V303" s="17" t="str">
        <f t="shared" si="18"/>
        <v>09/26/2019</v>
      </c>
      <c r="W303" s="17" t="s">
        <v>44</v>
      </c>
    </row>
    <row r="304" spans="1:24" s="17" customFormat="1" x14ac:dyDescent="0.25">
      <c r="A304" s="17" t="s">
        <v>24</v>
      </c>
      <c r="B304" s="17" t="s">
        <v>1656</v>
      </c>
      <c r="C304" s="17" t="s">
        <v>1657</v>
      </c>
      <c r="D304" s="17" t="s">
        <v>35</v>
      </c>
      <c r="E304" s="17" t="s">
        <v>26</v>
      </c>
      <c r="F304" s="17" t="s">
        <v>28</v>
      </c>
      <c r="G304" s="17" t="s">
        <v>37</v>
      </c>
      <c r="H304" s="18" t="s">
        <v>280</v>
      </c>
      <c r="I304" s="18" t="s">
        <v>36</v>
      </c>
      <c r="J304" s="18" t="str">
        <f t="shared" si="17"/>
        <v>2019</v>
      </c>
      <c r="K304" s="18"/>
      <c r="L304" s="18" t="s">
        <v>37</v>
      </c>
      <c r="M304" s="18" t="s">
        <v>37</v>
      </c>
      <c r="N304" s="19"/>
      <c r="O304" s="17" t="s">
        <v>1658</v>
      </c>
      <c r="P304" s="17" t="s">
        <v>1659</v>
      </c>
      <c r="Q304" s="17" t="s">
        <v>1660</v>
      </c>
      <c r="R304" s="17" t="s">
        <v>1661</v>
      </c>
      <c r="S304" s="17" t="s">
        <v>1662</v>
      </c>
      <c r="T304" s="17" t="s">
        <v>43</v>
      </c>
      <c r="U304" s="17">
        <v>374477</v>
      </c>
      <c r="V304" s="17" t="str">
        <f t="shared" si="18"/>
        <v>09/26/2019</v>
      </c>
      <c r="W304" s="17" t="s">
        <v>44</v>
      </c>
      <c r="X304" s="17" t="s">
        <v>1663</v>
      </c>
    </row>
    <row r="305" spans="1:23" s="17" customFormat="1" x14ac:dyDescent="0.25">
      <c r="A305" s="17" t="s">
        <v>24</v>
      </c>
      <c r="B305" s="17" t="s">
        <v>1656</v>
      </c>
      <c r="C305" s="17" t="s">
        <v>1664</v>
      </c>
      <c r="D305" s="17" t="s">
        <v>35</v>
      </c>
      <c r="E305" s="17" t="s">
        <v>26</v>
      </c>
      <c r="F305" s="17" t="s">
        <v>28</v>
      </c>
      <c r="G305" s="17" t="s">
        <v>37</v>
      </c>
      <c r="H305" s="18" t="s">
        <v>280</v>
      </c>
      <c r="I305" s="18" t="s">
        <v>36</v>
      </c>
      <c r="J305" s="18" t="str">
        <f t="shared" si="17"/>
        <v>2019</v>
      </c>
      <c r="K305" s="18"/>
      <c r="L305" s="18" t="s">
        <v>37</v>
      </c>
      <c r="M305" s="18" t="s">
        <v>37</v>
      </c>
      <c r="N305" s="19"/>
      <c r="O305" s="17" t="s">
        <v>1665</v>
      </c>
      <c r="P305" s="17" t="s">
        <v>1666</v>
      </c>
      <c r="Q305" s="17" t="s">
        <v>1660</v>
      </c>
      <c r="R305" s="17" t="s">
        <v>1661</v>
      </c>
      <c r="S305" s="17" t="s">
        <v>1667</v>
      </c>
      <c r="T305" s="17" t="s">
        <v>43</v>
      </c>
      <c r="U305" s="17">
        <v>374478</v>
      </c>
      <c r="V305" s="17" t="str">
        <f t="shared" si="18"/>
        <v>09/26/2019</v>
      </c>
      <c r="W305" s="17" t="s">
        <v>44</v>
      </c>
    </row>
    <row r="306" spans="1:23" s="17" customFormat="1" x14ac:dyDescent="0.25">
      <c r="A306" s="17" t="s">
        <v>24</v>
      </c>
      <c r="B306" s="17" t="s">
        <v>1577</v>
      </c>
      <c r="C306" s="17" t="s">
        <v>1668</v>
      </c>
      <c r="D306" s="17" t="s">
        <v>35</v>
      </c>
      <c r="E306" s="17" t="s">
        <v>26</v>
      </c>
      <c r="F306" s="17" t="s">
        <v>28</v>
      </c>
      <c r="G306" s="17" t="s">
        <v>1301</v>
      </c>
      <c r="H306" s="18" t="s">
        <v>280</v>
      </c>
      <c r="I306" s="18" t="s">
        <v>36</v>
      </c>
      <c r="J306" s="18" t="str">
        <f t="shared" si="17"/>
        <v>2019</v>
      </c>
      <c r="K306" s="18"/>
      <c r="L306" s="18" t="s">
        <v>37</v>
      </c>
      <c r="M306" s="18" t="s">
        <v>37</v>
      </c>
      <c r="N306" s="19"/>
      <c r="O306" s="17" t="s">
        <v>1669</v>
      </c>
      <c r="P306" s="17" t="s">
        <v>1670</v>
      </c>
      <c r="Q306" s="17" t="s">
        <v>1581</v>
      </c>
      <c r="R306" s="17" t="s">
        <v>1582</v>
      </c>
      <c r="S306" s="17" t="s">
        <v>1671</v>
      </c>
      <c r="T306" s="17" t="s">
        <v>43</v>
      </c>
      <c r="U306" s="17">
        <v>210321</v>
      </c>
      <c r="V306" s="17" t="str">
        <f t="shared" si="18"/>
        <v>09/26/2019</v>
      </c>
      <c r="W306" s="17" t="s">
        <v>44</v>
      </c>
    </row>
    <row r="307" spans="1:23" s="17" customFormat="1" x14ac:dyDescent="0.25">
      <c r="A307" s="17" t="s">
        <v>24</v>
      </c>
      <c r="B307" s="17" t="s">
        <v>1577</v>
      </c>
      <c r="C307" s="17" t="s">
        <v>1672</v>
      </c>
      <c r="D307" s="17" t="s">
        <v>35</v>
      </c>
      <c r="E307" s="17" t="s">
        <v>26</v>
      </c>
      <c r="F307" s="17" t="s">
        <v>28</v>
      </c>
      <c r="G307" s="17" t="s">
        <v>1301</v>
      </c>
      <c r="H307" s="18" t="s">
        <v>280</v>
      </c>
      <c r="I307" s="18" t="s">
        <v>36</v>
      </c>
      <c r="J307" s="18" t="str">
        <f t="shared" si="17"/>
        <v>2019</v>
      </c>
      <c r="K307" s="18"/>
      <c r="L307" s="18" t="s">
        <v>37</v>
      </c>
      <c r="M307" s="18" t="s">
        <v>37</v>
      </c>
      <c r="N307" s="19"/>
      <c r="O307" s="17" t="s">
        <v>1673</v>
      </c>
      <c r="P307" s="17" t="s">
        <v>1674</v>
      </c>
      <c r="Q307" s="17" t="s">
        <v>1581</v>
      </c>
      <c r="R307" s="17" t="s">
        <v>1582</v>
      </c>
      <c r="S307" s="17" t="s">
        <v>1675</v>
      </c>
      <c r="T307" s="17" t="s">
        <v>43</v>
      </c>
      <c r="U307" s="17">
        <v>210322</v>
      </c>
      <c r="V307" s="17" t="str">
        <f t="shared" si="18"/>
        <v>09/26/2019</v>
      </c>
      <c r="W307" s="17" t="s">
        <v>44</v>
      </c>
    </row>
    <row r="308" spans="1:23" s="17" customFormat="1" x14ac:dyDescent="0.25">
      <c r="A308" s="17" t="s">
        <v>24</v>
      </c>
      <c r="B308" s="17" t="s">
        <v>1577</v>
      </c>
      <c r="C308" s="17" t="s">
        <v>1676</v>
      </c>
      <c r="D308" s="17" t="s">
        <v>35</v>
      </c>
      <c r="E308" s="17" t="s">
        <v>26</v>
      </c>
      <c r="F308" s="17" t="s">
        <v>28</v>
      </c>
      <c r="G308" s="17" t="s">
        <v>1301</v>
      </c>
      <c r="H308" s="18" t="s">
        <v>280</v>
      </c>
      <c r="I308" s="18" t="s">
        <v>36</v>
      </c>
      <c r="J308" s="18" t="str">
        <f t="shared" si="17"/>
        <v>2019</v>
      </c>
      <c r="K308" s="18"/>
      <c r="L308" s="18" t="s">
        <v>37</v>
      </c>
      <c r="M308" s="18" t="s">
        <v>37</v>
      </c>
      <c r="N308" s="19"/>
      <c r="O308" s="17" t="s">
        <v>1677</v>
      </c>
      <c r="P308" s="17" t="s">
        <v>1678</v>
      </c>
      <c r="Q308" s="17" t="s">
        <v>1581</v>
      </c>
      <c r="R308" s="17" t="s">
        <v>1582</v>
      </c>
      <c r="S308" s="17" t="s">
        <v>1679</v>
      </c>
      <c r="T308" s="17" t="s">
        <v>43</v>
      </c>
      <c r="U308" s="17">
        <v>210323</v>
      </c>
      <c r="V308" s="17" t="str">
        <f t="shared" si="18"/>
        <v>09/26/2019</v>
      </c>
      <c r="W308" s="17" t="s">
        <v>44</v>
      </c>
    </row>
    <row r="309" spans="1:23" s="17" customFormat="1" x14ac:dyDescent="0.25">
      <c r="A309" s="17" t="s">
        <v>24</v>
      </c>
      <c r="B309" s="17" t="s">
        <v>1577</v>
      </c>
      <c r="C309" s="17" t="s">
        <v>1680</v>
      </c>
      <c r="D309" s="17" t="s">
        <v>35</v>
      </c>
      <c r="E309" s="17" t="s">
        <v>26</v>
      </c>
      <c r="F309" s="17" t="s">
        <v>28</v>
      </c>
      <c r="G309" s="17" t="s">
        <v>1301</v>
      </c>
      <c r="H309" s="18" t="s">
        <v>280</v>
      </c>
      <c r="I309" s="18" t="s">
        <v>36</v>
      </c>
      <c r="J309" s="18" t="str">
        <f t="shared" si="17"/>
        <v>2019</v>
      </c>
      <c r="K309" s="18"/>
      <c r="L309" s="18" t="s">
        <v>37</v>
      </c>
      <c r="M309" s="18" t="s">
        <v>37</v>
      </c>
      <c r="N309" s="19"/>
      <c r="O309" s="17" t="s">
        <v>1681</v>
      </c>
      <c r="P309" s="17" t="s">
        <v>1682</v>
      </c>
      <c r="Q309" s="17" t="s">
        <v>1581</v>
      </c>
      <c r="R309" s="17" t="s">
        <v>1582</v>
      </c>
      <c r="S309" s="17" t="s">
        <v>1683</v>
      </c>
      <c r="T309" s="17" t="s">
        <v>43</v>
      </c>
      <c r="U309" s="17">
        <v>210324</v>
      </c>
      <c r="V309" s="17" t="str">
        <f t="shared" si="18"/>
        <v>09/26/2019</v>
      </c>
      <c r="W309" s="17" t="s">
        <v>44</v>
      </c>
    </row>
    <row r="310" spans="1:23" s="17" customFormat="1" x14ac:dyDescent="0.25">
      <c r="A310" s="17" t="s">
        <v>24</v>
      </c>
      <c r="B310" s="17" t="s">
        <v>1577</v>
      </c>
      <c r="C310" s="17" t="s">
        <v>1684</v>
      </c>
      <c r="D310" s="17" t="s">
        <v>35</v>
      </c>
      <c r="E310" s="17" t="s">
        <v>26</v>
      </c>
      <c r="F310" s="17" t="s">
        <v>28</v>
      </c>
      <c r="G310" s="17" t="s">
        <v>1301</v>
      </c>
      <c r="H310" s="18" t="s">
        <v>280</v>
      </c>
      <c r="I310" s="18" t="s">
        <v>36</v>
      </c>
      <c r="J310" s="18" t="str">
        <f t="shared" si="17"/>
        <v>2019</v>
      </c>
      <c r="K310" s="18"/>
      <c r="L310" s="18" t="s">
        <v>37</v>
      </c>
      <c r="M310" s="18" t="s">
        <v>37</v>
      </c>
      <c r="N310" s="19"/>
      <c r="O310" s="17" t="s">
        <v>1685</v>
      </c>
      <c r="P310" s="17" t="s">
        <v>1686</v>
      </c>
      <c r="Q310" s="17" t="s">
        <v>1581</v>
      </c>
      <c r="R310" s="17" t="s">
        <v>1582</v>
      </c>
      <c r="S310" s="17" t="s">
        <v>1687</v>
      </c>
      <c r="T310" s="17" t="s">
        <v>43</v>
      </c>
      <c r="U310" s="17">
        <v>210325</v>
      </c>
      <c r="V310" s="17" t="str">
        <f t="shared" si="18"/>
        <v>09/26/2019</v>
      </c>
      <c r="W310" s="17" t="s">
        <v>44</v>
      </c>
    </row>
    <row r="311" spans="1:23" s="17" customFormat="1" x14ac:dyDescent="0.25">
      <c r="A311" s="17" t="s">
        <v>24</v>
      </c>
      <c r="B311" s="17" t="s">
        <v>1577</v>
      </c>
      <c r="C311" s="17" t="s">
        <v>1688</v>
      </c>
      <c r="D311" s="17" t="s">
        <v>35</v>
      </c>
      <c r="E311" s="17" t="s">
        <v>26</v>
      </c>
      <c r="F311" s="17" t="s">
        <v>28</v>
      </c>
      <c r="G311" s="17" t="s">
        <v>1301</v>
      </c>
      <c r="H311" s="18" t="s">
        <v>280</v>
      </c>
      <c r="I311" s="18" t="s">
        <v>36</v>
      </c>
      <c r="J311" s="18" t="str">
        <f t="shared" si="17"/>
        <v>2019</v>
      </c>
      <c r="K311" s="18"/>
      <c r="L311" s="18" t="s">
        <v>37</v>
      </c>
      <c r="M311" s="18" t="s">
        <v>37</v>
      </c>
      <c r="N311" s="19"/>
      <c r="O311" s="17" t="s">
        <v>1689</v>
      </c>
      <c r="P311" s="17" t="s">
        <v>1690</v>
      </c>
      <c r="Q311" s="17" t="s">
        <v>1581</v>
      </c>
      <c r="R311" s="17" t="s">
        <v>1582</v>
      </c>
      <c r="S311" s="17" t="s">
        <v>1691</v>
      </c>
      <c r="T311" s="17" t="s">
        <v>43</v>
      </c>
      <c r="U311" s="17">
        <v>210326</v>
      </c>
      <c r="V311" s="17" t="str">
        <f t="shared" si="18"/>
        <v>09/26/2019</v>
      </c>
      <c r="W311" s="17" t="s">
        <v>44</v>
      </c>
    </row>
    <row r="312" spans="1:23" s="17" customFormat="1" x14ac:dyDescent="0.25">
      <c r="A312" s="17" t="s">
        <v>24</v>
      </c>
      <c r="B312" s="17" t="s">
        <v>1577</v>
      </c>
      <c r="C312" s="17" t="s">
        <v>1692</v>
      </c>
      <c r="D312" s="17" t="s">
        <v>35</v>
      </c>
      <c r="E312" s="17" t="s">
        <v>26</v>
      </c>
      <c r="F312" s="17" t="s">
        <v>28</v>
      </c>
      <c r="G312" s="17" t="s">
        <v>1301</v>
      </c>
      <c r="H312" s="18" t="s">
        <v>280</v>
      </c>
      <c r="I312" s="18" t="s">
        <v>36</v>
      </c>
      <c r="J312" s="18" t="str">
        <f t="shared" si="17"/>
        <v>2019</v>
      </c>
      <c r="K312" s="18"/>
      <c r="L312" s="18" t="s">
        <v>37</v>
      </c>
      <c r="M312" s="18" t="s">
        <v>37</v>
      </c>
      <c r="N312" s="19"/>
      <c r="O312" s="17" t="s">
        <v>1693</v>
      </c>
      <c r="P312" s="17" t="s">
        <v>1694</v>
      </c>
      <c r="Q312" s="17" t="s">
        <v>1581</v>
      </c>
      <c r="R312" s="17" t="s">
        <v>1582</v>
      </c>
      <c r="S312" s="17" t="s">
        <v>1695</v>
      </c>
      <c r="T312" s="17" t="s">
        <v>43</v>
      </c>
      <c r="U312" s="17">
        <v>210327</v>
      </c>
      <c r="V312" s="17" t="str">
        <f t="shared" si="18"/>
        <v>09/26/2019</v>
      </c>
      <c r="W312" s="17" t="s">
        <v>44</v>
      </c>
    </row>
    <row r="313" spans="1:23" s="17" customFormat="1" x14ac:dyDescent="0.25">
      <c r="A313" s="17" t="s">
        <v>24</v>
      </c>
      <c r="B313" s="17" t="s">
        <v>1577</v>
      </c>
      <c r="C313" s="17" t="s">
        <v>1696</v>
      </c>
      <c r="D313" s="17" t="s">
        <v>35</v>
      </c>
      <c r="E313" s="17" t="s">
        <v>26</v>
      </c>
      <c r="F313" s="17" t="s">
        <v>28</v>
      </c>
      <c r="G313" s="17" t="s">
        <v>1301</v>
      </c>
      <c r="H313" s="18" t="s">
        <v>280</v>
      </c>
      <c r="I313" s="18" t="s">
        <v>36</v>
      </c>
      <c r="J313" s="18" t="str">
        <f t="shared" si="17"/>
        <v>2019</v>
      </c>
      <c r="K313" s="18"/>
      <c r="L313" s="18" t="s">
        <v>37</v>
      </c>
      <c r="M313" s="18" t="s">
        <v>37</v>
      </c>
      <c r="N313" s="19"/>
      <c r="O313" s="17" t="s">
        <v>1697</v>
      </c>
      <c r="P313" s="17" t="s">
        <v>1698</v>
      </c>
      <c r="Q313" s="17" t="s">
        <v>1581</v>
      </c>
      <c r="R313" s="17" t="s">
        <v>1582</v>
      </c>
      <c r="S313" s="17" t="s">
        <v>1699</v>
      </c>
      <c r="T313" s="17" t="s">
        <v>43</v>
      </c>
      <c r="U313" s="17">
        <v>210328</v>
      </c>
      <c r="V313" s="17" t="str">
        <f t="shared" si="18"/>
        <v>09/26/2019</v>
      </c>
      <c r="W313" s="17" t="s">
        <v>44</v>
      </c>
    </row>
    <row r="314" spans="1:23" s="17" customFormat="1" x14ac:dyDescent="0.25">
      <c r="A314" s="17" t="s">
        <v>24</v>
      </c>
      <c r="B314" s="17" t="s">
        <v>1577</v>
      </c>
      <c r="C314" s="17" t="s">
        <v>1700</v>
      </c>
      <c r="D314" s="17" t="s">
        <v>35</v>
      </c>
      <c r="E314" s="17" t="s">
        <v>26</v>
      </c>
      <c r="F314" s="17" t="s">
        <v>28</v>
      </c>
      <c r="G314" s="17" t="s">
        <v>1301</v>
      </c>
      <c r="H314" s="18" t="s">
        <v>280</v>
      </c>
      <c r="I314" s="18" t="s">
        <v>36</v>
      </c>
      <c r="J314" s="18" t="str">
        <f t="shared" si="17"/>
        <v>2019</v>
      </c>
      <c r="K314" s="18"/>
      <c r="L314" s="18" t="s">
        <v>37</v>
      </c>
      <c r="M314" s="18" t="s">
        <v>37</v>
      </c>
      <c r="N314" s="19"/>
      <c r="O314" s="17" t="s">
        <v>1701</v>
      </c>
      <c r="P314" s="17" t="s">
        <v>1702</v>
      </c>
      <c r="Q314" s="17" t="s">
        <v>1581</v>
      </c>
      <c r="R314" s="17" t="s">
        <v>1582</v>
      </c>
      <c r="S314" s="17" t="s">
        <v>1703</v>
      </c>
      <c r="T314" s="17" t="s">
        <v>43</v>
      </c>
      <c r="U314" s="17">
        <v>210329</v>
      </c>
      <c r="V314" s="17" t="str">
        <f t="shared" si="18"/>
        <v>09/26/2019</v>
      </c>
      <c r="W314" s="17" t="s">
        <v>44</v>
      </c>
    </row>
    <row r="315" spans="1:23" s="17" customFormat="1" x14ac:dyDescent="0.25">
      <c r="A315" s="17" t="s">
        <v>24</v>
      </c>
      <c r="B315" s="17" t="s">
        <v>1577</v>
      </c>
      <c r="C315" s="17" t="s">
        <v>1704</v>
      </c>
      <c r="D315" s="17" t="s">
        <v>35</v>
      </c>
      <c r="E315" s="17" t="s">
        <v>26</v>
      </c>
      <c r="F315" s="17" t="s">
        <v>28</v>
      </c>
      <c r="G315" s="17" t="s">
        <v>1301</v>
      </c>
      <c r="H315" s="18" t="s">
        <v>280</v>
      </c>
      <c r="I315" s="18" t="s">
        <v>36</v>
      </c>
      <c r="J315" s="18" t="str">
        <f t="shared" si="17"/>
        <v>2019</v>
      </c>
      <c r="K315" s="18"/>
      <c r="L315" s="18" t="s">
        <v>37</v>
      </c>
      <c r="M315" s="18" t="s">
        <v>37</v>
      </c>
      <c r="N315" s="19"/>
      <c r="O315" s="17" t="s">
        <v>1705</v>
      </c>
      <c r="P315" s="17" t="s">
        <v>1706</v>
      </c>
      <c r="Q315" s="17" t="s">
        <v>1581</v>
      </c>
      <c r="R315" s="17" t="s">
        <v>1582</v>
      </c>
      <c r="S315" s="17" t="s">
        <v>1707</v>
      </c>
      <c r="T315" s="17" t="s">
        <v>43</v>
      </c>
      <c r="U315" s="17">
        <v>210330</v>
      </c>
      <c r="V315" s="17" t="str">
        <f t="shared" si="18"/>
        <v>09/26/2019</v>
      </c>
      <c r="W315" s="17" t="s">
        <v>44</v>
      </c>
    </row>
    <row r="316" spans="1:23" s="17" customFormat="1" x14ac:dyDescent="0.25">
      <c r="A316" s="17" t="s">
        <v>24</v>
      </c>
      <c r="B316" s="17" t="s">
        <v>1577</v>
      </c>
      <c r="C316" s="17" t="s">
        <v>1708</v>
      </c>
      <c r="D316" s="17" t="s">
        <v>35</v>
      </c>
      <c r="E316" s="17" t="s">
        <v>26</v>
      </c>
      <c r="F316" s="17" t="s">
        <v>28</v>
      </c>
      <c r="G316" s="17" t="s">
        <v>1301</v>
      </c>
      <c r="H316" s="18" t="s">
        <v>280</v>
      </c>
      <c r="I316" s="18" t="s">
        <v>36</v>
      </c>
      <c r="J316" s="18" t="str">
        <f t="shared" si="17"/>
        <v>2019</v>
      </c>
      <c r="K316" s="18"/>
      <c r="L316" s="18" t="s">
        <v>37</v>
      </c>
      <c r="M316" s="18" t="s">
        <v>37</v>
      </c>
      <c r="N316" s="19"/>
      <c r="O316" s="17" t="s">
        <v>1709</v>
      </c>
      <c r="P316" s="17" t="s">
        <v>1710</v>
      </c>
      <c r="Q316" s="17" t="s">
        <v>1581</v>
      </c>
      <c r="R316" s="17" t="s">
        <v>1582</v>
      </c>
      <c r="S316" s="17" t="s">
        <v>1711</v>
      </c>
      <c r="T316" s="17" t="s">
        <v>43</v>
      </c>
      <c r="U316" s="17">
        <v>210331</v>
      </c>
      <c r="V316" s="17" t="str">
        <f t="shared" si="18"/>
        <v>09/26/2019</v>
      </c>
      <c r="W316" s="17" t="s">
        <v>44</v>
      </c>
    </row>
    <row r="317" spans="1:23" s="17" customFormat="1" x14ac:dyDescent="0.25">
      <c r="A317" s="17" t="s">
        <v>24</v>
      </c>
      <c r="B317" s="17" t="s">
        <v>1577</v>
      </c>
      <c r="C317" s="17" t="s">
        <v>1712</v>
      </c>
      <c r="D317" s="17" t="s">
        <v>35</v>
      </c>
      <c r="E317" s="17" t="s">
        <v>26</v>
      </c>
      <c r="F317" s="17" t="s">
        <v>28</v>
      </c>
      <c r="G317" s="17" t="s">
        <v>1301</v>
      </c>
      <c r="H317" s="18" t="s">
        <v>280</v>
      </c>
      <c r="I317" s="18" t="s">
        <v>36</v>
      </c>
      <c r="J317" s="18" t="str">
        <f t="shared" si="17"/>
        <v>2019</v>
      </c>
      <c r="K317" s="18"/>
      <c r="L317" s="18" t="s">
        <v>37</v>
      </c>
      <c r="M317" s="18" t="s">
        <v>37</v>
      </c>
      <c r="N317" s="19"/>
      <c r="O317" s="17" t="s">
        <v>1713</v>
      </c>
      <c r="P317" s="17" t="s">
        <v>1714</v>
      </c>
      <c r="Q317" s="17" t="s">
        <v>1581</v>
      </c>
      <c r="R317" s="17" t="s">
        <v>1582</v>
      </c>
      <c r="S317" s="17" t="s">
        <v>1715</v>
      </c>
      <c r="T317" s="17" t="s">
        <v>43</v>
      </c>
      <c r="U317" s="17">
        <v>210332</v>
      </c>
      <c r="V317" s="17" t="str">
        <f t="shared" si="18"/>
        <v>09/26/2019</v>
      </c>
      <c r="W317" s="17" t="s">
        <v>44</v>
      </c>
    </row>
    <row r="318" spans="1:23" s="17" customFormat="1" x14ac:dyDescent="0.25">
      <c r="A318" s="17" t="s">
        <v>24</v>
      </c>
      <c r="B318" s="17" t="s">
        <v>1577</v>
      </c>
      <c r="C318" s="17" t="s">
        <v>1716</v>
      </c>
      <c r="D318" s="17" t="s">
        <v>35</v>
      </c>
      <c r="E318" s="17" t="s">
        <v>26</v>
      </c>
      <c r="F318" s="17" t="s">
        <v>28</v>
      </c>
      <c r="G318" s="17" t="s">
        <v>1301</v>
      </c>
      <c r="H318" s="18" t="s">
        <v>280</v>
      </c>
      <c r="I318" s="18" t="s">
        <v>36</v>
      </c>
      <c r="J318" s="18" t="str">
        <f t="shared" si="17"/>
        <v>2019</v>
      </c>
      <c r="K318" s="18"/>
      <c r="L318" s="18" t="s">
        <v>37</v>
      </c>
      <c r="M318" s="18" t="s">
        <v>37</v>
      </c>
      <c r="N318" s="19"/>
      <c r="O318" s="17" t="s">
        <v>1717</v>
      </c>
      <c r="P318" s="17" t="s">
        <v>1718</v>
      </c>
      <c r="Q318" s="17" t="s">
        <v>1581</v>
      </c>
      <c r="R318" s="17" t="s">
        <v>1582</v>
      </c>
      <c r="S318" s="17" t="s">
        <v>1719</v>
      </c>
      <c r="T318" s="17" t="s">
        <v>43</v>
      </c>
      <c r="U318" s="17">
        <v>210333</v>
      </c>
      <c r="V318" s="17" t="str">
        <f t="shared" si="18"/>
        <v>09/26/2019</v>
      </c>
      <c r="W318" s="17" t="s">
        <v>44</v>
      </c>
    </row>
    <row r="319" spans="1:23" s="17" customFormat="1" x14ac:dyDescent="0.25">
      <c r="A319" s="17" t="s">
        <v>24</v>
      </c>
      <c r="B319" s="17" t="s">
        <v>1577</v>
      </c>
      <c r="C319" s="17" t="s">
        <v>1720</v>
      </c>
      <c r="D319" s="17" t="s">
        <v>35</v>
      </c>
      <c r="E319" s="17" t="s">
        <v>26</v>
      </c>
      <c r="F319" s="17" t="s">
        <v>28</v>
      </c>
      <c r="G319" s="17" t="s">
        <v>1301</v>
      </c>
      <c r="H319" s="18" t="s">
        <v>280</v>
      </c>
      <c r="I319" s="18" t="s">
        <v>36</v>
      </c>
      <c r="J319" s="18" t="str">
        <f t="shared" si="17"/>
        <v>2019</v>
      </c>
      <c r="K319" s="18"/>
      <c r="L319" s="18" t="s">
        <v>37</v>
      </c>
      <c r="M319" s="18" t="s">
        <v>37</v>
      </c>
      <c r="N319" s="19"/>
      <c r="O319" s="17" t="s">
        <v>1721</v>
      </c>
      <c r="P319" s="17" t="s">
        <v>1722</v>
      </c>
      <c r="Q319" s="17" t="s">
        <v>1581</v>
      </c>
      <c r="R319" s="17" t="s">
        <v>1582</v>
      </c>
      <c r="S319" s="17" t="s">
        <v>1723</v>
      </c>
      <c r="T319" s="17" t="s">
        <v>43</v>
      </c>
      <c r="U319" s="17">
        <v>210334</v>
      </c>
      <c r="V319" s="17" t="str">
        <f t="shared" si="18"/>
        <v>09/26/2019</v>
      </c>
      <c r="W319" s="17" t="s">
        <v>44</v>
      </c>
    </row>
    <row r="320" spans="1:23" s="17" customFormat="1" x14ac:dyDescent="0.25">
      <c r="A320" s="17" t="s">
        <v>24</v>
      </c>
      <c r="B320" s="17" t="s">
        <v>1577</v>
      </c>
      <c r="C320" s="17" t="s">
        <v>1724</v>
      </c>
      <c r="D320" s="17" t="s">
        <v>35</v>
      </c>
      <c r="E320" s="17" t="s">
        <v>26</v>
      </c>
      <c r="F320" s="17" t="s">
        <v>28</v>
      </c>
      <c r="G320" s="17" t="s">
        <v>1301</v>
      </c>
      <c r="H320" s="18" t="s">
        <v>280</v>
      </c>
      <c r="I320" s="18" t="s">
        <v>36</v>
      </c>
      <c r="J320" s="18" t="str">
        <f t="shared" si="17"/>
        <v>2019</v>
      </c>
      <c r="K320" s="18"/>
      <c r="L320" s="18" t="s">
        <v>37</v>
      </c>
      <c r="M320" s="18" t="s">
        <v>37</v>
      </c>
      <c r="N320" s="19"/>
      <c r="O320" s="17" t="s">
        <v>1725</v>
      </c>
      <c r="P320" s="17" t="s">
        <v>1726</v>
      </c>
      <c r="Q320" s="17" t="s">
        <v>1581</v>
      </c>
      <c r="R320" s="17" t="s">
        <v>1582</v>
      </c>
      <c r="S320" s="17" t="s">
        <v>1727</v>
      </c>
      <c r="T320" s="17" t="s">
        <v>43</v>
      </c>
      <c r="U320" s="17">
        <v>210335</v>
      </c>
      <c r="V320" s="17" t="str">
        <f t="shared" si="18"/>
        <v>09/26/2019</v>
      </c>
      <c r="W320" s="17" t="s">
        <v>44</v>
      </c>
    </row>
    <row r="321" spans="1:24" s="17" customFormat="1" x14ac:dyDescent="0.25">
      <c r="A321" s="17" t="s">
        <v>24</v>
      </c>
      <c r="B321" s="17" t="s">
        <v>1577</v>
      </c>
      <c r="C321" s="17" t="s">
        <v>1728</v>
      </c>
      <c r="D321" s="17" t="s">
        <v>35</v>
      </c>
      <c r="E321" s="17" t="s">
        <v>26</v>
      </c>
      <c r="F321" s="17" t="s">
        <v>28</v>
      </c>
      <c r="G321" s="17" t="s">
        <v>1301</v>
      </c>
      <c r="H321" s="18" t="s">
        <v>280</v>
      </c>
      <c r="I321" s="18" t="s">
        <v>36</v>
      </c>
      <c r="J321" s="18" t="str">
        <f t="shared" si="17"/>
        <v>2019</v>
      </c>
      <c r="K321" s="18"/>
      <c r="L321" s="18" t="s">
        <v>37</v>
      </c>
      <c r="M321" s="18" t="s">
        <v>37</v>
      </c>
      <c r="N321" s="19"/>
      <c r="O321" s="17" t="s">
        <v>1729</v>
      </c>
      <c r="P321" s="17" t="s">
        <v>1730</v>
      </c>
      <c r="Q321" s="17" t="s">
        <v>1581</v>
      </c>
      <c r="R321" s="17" t="s">
        <v>1582</v>
      </c>
      <c r="S321" s="17" t="s">
        <v>1731</v>
      </c>
      <c r="T321" s="17" t="s">
        <v>43</v>
      </c>
      <c r="U321" s="17">
        <v>210336</v>
      </c>
      <c r="V321" s="17" t="str">
        <f t="shared" si="18"/>
        <v>09/26/2019</v>
      </c>
      <c r="W321" s="17" t="s">
        <v>44</v>
      </c>
    </row>
    <row r="322" spans="1:24" s="17" customFormat="1" x14ac:dyDescent="0.25">
      <c r="A322" s="17" t="s">
        <v>24</v>
      </c>
      <c r="B322" s="17" t="s">
        <v>1577</v>
      </c>
      <c r="C322" s="17" t="s">
        <v>1732</v>
      </c>
      <c r="D322" s="17" t="s">
        <v>35</v>
      </c>
      <c r="E322" s="17" t="s">
        <v>26</v>
      </c>
      <c r="F322" s="17" t="s">
        <v>28</v>
      </c>
      <c r="G322" s="17" t="s">
        <v>1301</v>
      </c>
      <c r="H322" s="18" t="s">
        <v>280</v>
      </c>
      <c r="I322" s="18" t="s">
        <v>36</v>
      </c>
      <c r="J322" s="18" t="str">
        <f t="shared" si="17"/>
        <v>2019</v>
      </c>
      <c r="K322" s="18"/>
      <c r="L322" s="18" t="s">
        <v>37</v>
      </c>
      <c r="M322" s="18" t="s">
        <v>37</v>
      </c>
      <c r="N322" s="19"/>
      <c r="O322" s="17" t="s">
        <v>1733</v>
      </c>
      <c r="P322" s="17" t="s">
        <v>1734</v>
      </c>
      <c r="Q322" s="17" t="s">
        <v>1581</v>
      </c>
      <c r="R322" s="17" t="s">
        <v>1582</v>
      </c>
      <c r="S322" s="17" t="s">
        <v>1735</v>
      </c>
      <c r="T322" s="17" t="s">
        <v>43</v>
      </c>
      <c r="U322" s="17">
        <v>210337</v>
      </c>
      <c r="V322" s="17" t="str">
        <f t="shared" si="18"/>
        <v>09/26/2019</v>
      </c>
      <c r="W322" s="17" t="s">
        <v>44</v>
      </c>
    </row>
    <row r="323" spans="1:24" s="17" customFormat="1" x14ac:dyDescent="0.25">
      <c r="A323" s="17" t="s">
        <v>24</v>
      </c>
      <c r="B323" s="17" t="s">
        <v>1577</v>
      </c>
      <c r="C323" s="17" t="s">
        <v>1736</v>
      </c>
      <c r="D323" s="17" t="s">
        <v>35</v>
      </c>
      <c r="E323" s="17" t="s">
        <v>26</v>
      </c>
      <c r="F323" s="17" t="s">
        <v>28</v>
      </c>
      <c r="G323" s="17" t="s">
        <v>1301</v>
      </c>
      <c r="H323" s="18" t="s">
        <v>280</v>
      </c>
      <c r="I323" s="18" t="s">
        <v>36</v>
      </c>
      <c r="J323" s="18" t="str">
        <f t="shared" si="17"/>
        <v>2019</v>
      </c>
      <c r="K323" s="18"/>
      <c r="L323" s="18" t="s">
        <v>37</v>
      </c>
      <c r="M323" s="18" t="s">
        <v>37</v>
      </c>
      <c r="N323" s="19"/>
      <c r="O323" s="17" t="s">
        <v>1737</v>
      </c>
      <c r="P323" s="17" t="s">
        <v>1738</v>
      </c>
      <c r="Q323" s="17" t="s">
        <v>1581</v>
      </c>
      <c r="R323" s="17" t="s">
        <v>1582</v>
      </c>
      <c r="S323" s="17" t="s">
        <v>1739</v>
      </c>
      <c r="T323" s="17" t="s">
        <v>43</v>
      </c>
      <c r="U323" s="17">
        <v>210338</v>
      </c>
      <c r="V323" s="17" t="str">
        <f t="shared" si="18"/>
        <v>09/26/2019</v>
      </c>
      <c r="W323" s="17" t="s">
        <v>44</v>
      </c>
    </row>
    <row r="324" spans="1:24" s="17" customFormat="1" x14ac:dyDescent="0.25">
      <c r="A324" s="17" t="s">
        <v>24</v>
      </c>
      <c r="B324" s="17" t="s">
        <v>1577</v>
      </c>
      <c r="C324" s="17" t="s">
        <v>1740</v>
      </c>
      <c r="D324" s="17" t="s">
        <v>35</v>
      </c>
      <c r="E324" s="17" t="s">
        <v>26</v>
      </c>
      <c r="F324" s="17" t="s">
        <v>28</v>
      </c>
      <c r="G324" s="17" t="s">
        <v>1301</v>
      </c>
      <c r="H324" s="18" t="s">
        <v>280</v>
      </c>
      <c r="I324" s="18" t="s">
        <v>36</v>
      </c>
      <c r="J324" s="18" t="str">
        <f t="shared" si="17"/>
        <v>2019</v>
      </c>
      <c r="K324" s="18"/>
      <c r="L324" s="18" t="s">
        <v>37</v>
      </c>
      <c r="M324" s="18" t="s">
        <v>37</v>
      </c>
      <c r="N324" s="19"/>
      <c r="O324" s="17" t="s">
        <v>1741</v>
      </c>
      <c r="P324" s="17" t="s">
        <v>1742</v>
      </c>
      <c r="Q324" s="17" t="s">
        <v>1581</v>
      </c>
      <c r="R324" s="17" t="s">
        <v>1582</v>
      </c>
      <c r="S324" s="17" t="s">
        <v>1743</v>
      </c>
      <c r="T324" s="17" t="s">
        <v>43</v>
      </c>
      <c r="U324" s="17">
        <v>210339</v>
      </c>
      <c r="V324" s="17" t="str">
        <f t="shared" si="18"/>
        <v>09/26/2019</v>
      </c>
      <c r="W324" s="17" t="s">
        <v>44</v>
      </c>
    </row>
    <row r="325" spans="1:24" s="17" customFormat="1" x14ac:dyDescent="0.25">
      <c r="A325" s="17" t="s">
        <v>24</v>
      </c>
      <c r="B325" s="17" t="s">
        <v>1577</v>
      </c>
      <c r="C325" s="17" t="s">
        <v>1744</v>
      </c>
      <c r="D325" s="17" t="s">
        <v>35</v>
      </c>
      <c r="E325" s="17" t="s">
        <v>26</v>
      </c>
      <c r="F325" s="17" t="s">
        <v>28</v>
      </c>
      <c r="G325" s="17" t="s">
        <v>1301</v>
      </c>
      <c r="H325" s="18" t="s">
        <v>280</v>
      </c>
      <c r="I325" s="18" t="s">
        <v>36</v>
      </c>
      <c r="J325" s="18" t="str">
        <f t="shared" ref="J325:J388" si="19">RIGHT(I325,4)</f>
        <v>2019</v>
      </c>
      <c r="K325" s="18"/>
      <c r="L325" s="18" t="s">
        <v>37</v>
      </c>
      <c r="M325" s="18" t="s">
        <v>37</v>
      </c>
      <c r="N325" s="19"/>
      <c r="O325" s="17" t="s">
        <v>1745</v>
      </c>
      <c r="P325" s="17" t="s">
        <v>1746</v>
      </c>
      <c r="Q325" s="17" t="s">
        <v>1581</v>
      </c>
      <c r="R325" s="17" t="s">
        <v>1582</v>
      </c>
      <c r="S325" s="17" t="s">
        <v>1747</v>
      </c>
      <c r="T325" s="17" t="s">
        <v>43</v>
      </c>
      <c r="U325" s="17">
        <v>210340</v>
      </c>
      <c r="V325" s="17" t="str">
        <f t="shared" si="18"/>
        <v>09/26/2019</v>
      </c>
      <c r="W325" s="17" t="s">
        <v>44</v>
      </c>
    </row>
    <row r="326" spans="1:24" s="17" customFormat="1" x14ac:dyDescent="0.25">
      <c r="A326" s="17" t="s">
        <v>24</v>
      </c>
      <c r="B326" s="17" t="s">
        <v>1577</v>
      </c>
      <c r="C326" s="17" t="s">
        <v>1748</v>
      </c>
      <c r="D326" s="17" t="s">
        <v>35</v>
      </c>
      <c r="E326" s="17" t="s">
        <v>26</v>
      </c>
      <c r="F326" s="17" t="s">
        <v>28</v>
      </c>
      <c r="G326" s="17" t="s">
        <v>1301</v>
      </c>
      <c r="H326" s="18" t="s">
        <v>280</v>
      </c>
      <c r="I326" s="18" t="s">
        <v>36</v>
      </c>
      <c r="J326" s="18" t="str">
        <f t="shared" si="19"/>
        <v>2019</v>
      </c>
      <c r="K326" s="18"/>
      <c r="L326" s="18" t="s">
        <v>37</v>
      </c>
      <c r="M326" s="18" t="s">
        <v>37</v>
      </c>
      <c r="N326" s="19"/>
      <c r="O326" s="17" t="s">
        <v>1749</v>
      </c>
      <c r="P326" s="17" t="s">
        <v>1750</v>
      </c>
      <c r="Q326" s="17" t="s">
        <v>1581</v>
      </c>
      <c r="R326" s="17" t="s">
        <v>1582</v>
      </c>
      <c r="S326" s="17" t="s">
        <v>1751</v>
      </c>
      <c r="T326" s="17" t="s">
        <v>43</v>
      </c>
      <c r="U326" s="17">
        <v>210341</v>
      </c>
      <c r="V326" s="17" t="str">
        <f t="shared" si="18"/>
        <v>09/26/2019</v>
      </c>
      <c r="W326" s="17" t="s">
        <v>44</v>
      </c>
    </row>
    <row r="327" spans="1:24" s="17" customFormat="1" x14ac:dyDescent="0.25">
      <c r="A327" s="17" t="s">
        <v>24</v>
      </c>
      <c r="B327" s="17" t="s">
        <v>1577</v>
      </c>
      <c r="C327" s="17" t="s">
        <v>1752</v>
      </c>
      <c r="D327" s="17" t="s">
        <v>35</v>
      </c>
      <c r="E327" s="17" t="s">
        <v>26</v>
      </c>
      <c r="F327" s="17" t="s">
        <v>28</v>
      </c>
      <c r="G327" s="17" t="s">
        <v>1301</v>
      </c>
      <c r="H327" s="18" t="s">
        <v>280</v>
      </c>
      <c r="I327" s="18" t="s">
        <v>36</v>
      </c>
      <c r="J327" s="18" t="str">
        <f t="shared" si="19"/>
        <v>2019</v>
      </c>
      <c r="K327" s="18"/>
      <c r="L327" s="18" t="s">
        <v>37</v>
      </c>
      <c r="M327" s="18" t="s">
        <v>37</v>
      </c>
      <c r="N327" s="19"/>
      <c r="O327" s="17" t="s">
        <v>1753</v>
      </c>
      <c r="P327" s="17" t="s">
        <v>1754</v>
      </c>
      <c r="Q327" s="17" t="s">
        <v>1581</v>
      </c>
      <c r="R327" s="17" t="s">
        <v>1582</v>
      </c>
      <c r="S327" s="17" t="s">
        <v>1755</v>
      </c>
      <c r="T327" s="17" t="s">
        <v>43</v>
      </c>
      <c r="U327" s="17">
        <v>210342</v>
      </c>
      <c r="V327" s="17" t="str">
        <f t="shared" si="18"/>
        <v>09/26/2019</v>
      </c>
      <c r="W327" s="17" t="s">
        <v>44</v>
      </c>
    </row>
    <row r="328" spans="1:24" s="17" customFormat="1" x14ac:dyDescent="0.25">
      <c r="A328" s="17" t="s">
        <v>24</v>
      </c>
      <c r="B328" s="17" t="s">
        <v>1577</v>
      </c>
      <c r="C328" s="17" t="s">
        <v>1756</v>
      </c>
      <c r="D328" s="17" t="s">
        <v>35</v>
      </c>
      <c r="E328" s="17" t="s">
        <v>26</v>
      </c>
      <c r="F328" s="17" t="s">
        <v>28</v>
      </c>
      <c r="G328" s="17" t="s">
        <v>1301</v>
      </c>
      <c r="H328" s="18" t="s">
        <v>280</v>
      </c>
      <c r="I328" s="18" t="s">
        <v>36</v>
      </c>
      <c r="J328" s="18" t="str">
        <f t="shared" si="19"/>
        <v>2019</v>
      </c>
      <c r="K328" s="18"/>
      <c r="L328" s="18" t="s">
        <v>37</v>
      </c>
      <c r="M328" s="18" t="s">
        <v>37</v>
      </c>
      <c r="N328" s="19"/>
      <c r="O328" s="17" t="s">
        <v>1757</v>
      </c>
      <c r="P328" s="17" t="s">
        <v>1758</v>
      </c>
      <c r="Q328" s="17" t="s">
        <v>1581</v>
      </c>
      <c r="R328" s="17" t="s">
        <v>1582</v>
      </c>
      <c r="S328" s="17" t="s">
        <v>1759</v>
      </c>
      <c r="T328" s="17" t="s">
        <v>43</v>
      </c>
      <c r="U328" s="17">
        <v>210343</v>
      </c>
      <c r="V328" s="17" t="str">
        <f t="shared" ref="V328:V391" si="20">TEXT(DATEVALUE(LEFT(O328,10)), "mm/dd/yyyy")</f>
        <v>09/26/2019</v>
      </c>
      <c r="W328" s="17" t="s">
        <v>44</v>
      </c>
    </row>
    <row r="329" spans="1:24" s="17" customFormat="1" x14ac:dyDescent="0.25">
      <c r="A329" s="17" t="s">
        <v>24</v>
      </c>
      <c r="B329" s="17" t="s">
        <v>1577</v>
      </c>
      <c r="C329" s="17" t="s">
        <v>1760</v>
      </c>
      <c r="D329" s="17" t="s">
        <v>35</v>
      </c>
      <c r="E329" s="17" t="s">
        <v>26</v>
      </c>
      <c r="F329" s="17" t="s">
        <v>28</v>
      </c>
      <c r="G329" s="17" t="s">
        <v>1301</v>
      </c>
      <c r="H329" s="18" t="s">
        <v>280</v>
      </c>
      <c r="I329" s="18" t="s">
        <v>36</v>
      </c>
      <c r="J329" s="18" t="str">
        <f t="shared" si="19"/>
        <v>2019</v>
      </c>
      <c r="K329" s="18"/>
      <c r="L329" s="18" t="s">
        <v>37</v>
      </c>
      <c r="M329" s="18" t="s">
        <v>37</v>
      </c>
      <c r="N329" s="19"/>
      <c r="O329" s="17" t="s">
        <v>1761</v>
      </c>
      <c r="P329" s="17" t="s">
        <v>1762</v>
      </c>
      <c r="Q329" s="17" t="s">
        <v>1581</v>
      </c>
      <c r="R329" s="17" t="s">
        <v>1582</v>
      </c>
      <c r="S329" s="17" t="s">
        <v>1763</v>
      </c>
      <c r="T329" s="17" t="s">
        <v>43</v>
      </c>
      <c r="U329" s="17">
        <v>210344</v>
      </c>
      <c r="V329" s="17" t="str">
        <f t="shared" si="20"/>
        <v>09/26/2019</v>
      </c>
      <c r="W329" s="17" t="s">
        <v>44</v>
      </c>
    </row>
    <row r="330" spans="1:24" s="17" customFormat="1" x14ac:dyDescent="0.25">
      <c r="A330" s="17" t="s">
        <v>24</v>
      </c>
      <c r="B330" s="17" t="s">
        <v>1577</v>
      </c>
      <c r="C330" s="17" t="s">
        <v>1764</v>
      </c>
      <c r="D330" s="17" t="s">
        <v>35</v>
      </c>
      <c r="E330" s="17" t="s">
        <v>26</v>
      </c>
      <c r="F330" s="17" t="s">
        <v>26</v>
      </c>
      <c r="G330" s="17" t="s">
        <v>37</v>
      </c>
      <c r="H330" s="18" t="s">
        <v>28</v>
      </c>
      <c r="I330" s="18" t="s">
        <v>36</v>
      </c>
      <c r="J330" s="18" t="str">
        <f t="shared" si="19"/>
        <v>2019</v>
      </c>
      <c r="K330" s="18"/>
      <c r="L330" s="18"/>
      <c r="M330" s="18"/>
      <c r="N330" s="19"/>
      <c r="O330" s="17" t="s">
        <v>1765</v>
      </c>
      <c r="P330" s="17" t="s">
        <v>1766</v>
      </c>
      <c r="Q330" s="17" t="s">
        <v>1581</v>
      </c>
      <c r="R330" s="17" t="s">
        <v>1582</v>
      </c>
      <c r="S330" s="17" t="s">
        <v>1767</v>
      </c>
      <c r="T330" s="17" t="s">
        <v>43</v>
      </c>
      <c r="U330" s="17">
        <v>210345</v>
      </c>
      <c r="V330" s="17" t="str">
        <f t="shared" si="20"/>
        <v>09/26/2019</v>
      </c>
      <c r="W330" s="17" t="s">
        <v>44</v>
      </c>
    </row>
    <row r="331" spans="1:24" s="17" customFormat="1" x14ac:dyDescent="0.25">
      <c r="A331" s="17" t="s">
        <v>24</v>
      </c>
      <c r="B331" s="17" t="s">
        <v>1577</v>
      </c>
      <c r="C331" s="17" t="s">
        <v>1768</v>
      </c>
      <c r="D331" s="17" t="s">
        <v>35</v>
      </c>
      <c r="E331" s="17" t="s">
        <v>26</v>
      </c>
      <c r="F331" s="17" t="s">
        <v>28</v>
      </c>
      <c r="G331" s="17" t="s">
        <v>1301</v>
      </c>
      <c r="H331" s="18" t="s">
        <v>280</v>
      </c>
      <c r="I331" s="18" t="s">
        <v>36</v>
      </c>
      <c r="J331" s="18" t="str">
        <f t="shared" si="19"/>
        <v>2019</v>
      </c>
      <c r="K331" s="18"/>
      <c r="L331" s="18" t="s">
        <v>37</v>
      </c>
      <c r="M331" s="18" t="s">
        <v>37</v>
      </c>
      <c r="N331" s="19"/>
      <c r="O331" s="17" t="s">
        <v>1769</v>
      </c>
      <c r="P331" s="17" t="s">
        <v>1770</v>
      </c>
      <c r="Q331" s="17" t="s">
        <v>1581</v>
      </c>
      <c r="R331" s="17" t="s">
        <v>1582</v>
      </c>
      <c r="S331" s="17" t="s">
        <v>1771</v>
      </c>
      <c r="T331" s="17" t="s">
        <v>43</v>
      </c>
      <c r="U331" s="17">
        <v>210346</v>
      </c>
      <c r="V331" s="17" t="str">
        <f t="shared" si="20"/>
        <v>09/26/2019</v>
      </c>
      <c r="W331" s="17" t="s">
        <v>44</v>
      </c>
    </row>
    <row r="332" spans="1:24" s="17" customFormat="1" x14ac:dyDescent="0.25">
      <c r="A332" s="17" t="s">
        <v>24</v>
      </c>
      <c r="B332" s="17" t="s">
        <v>1577</v>
      </c>
      <c r="C332" s="17" t="s">
        <v>1772</v>
      </c>
      <c r="D332" s="17" t="s">
        <v>35</v>
      </c>
      <c r="E332" s="17" t="s">
        <v>26</v>
      </c>
      <c r="F332" s="17" t="s">
        <v>28</v>
      </c>
      <c r="G332" s="17" t="s">
        <v>1301</v>
      </c>
      <c r="H332" s="18" t="s">
        <v>280</v>
      </c>
      <c r="I332" s="18" t="s">
        <v>36</v>
      </c>
      <c r="J332" s="18" t="str">
        <f t="shared" si="19"/>
        <v>2019</v>
      </c>
      <c r="K332" s="18"/>
      <c r="L332" s="18" t="s">
        <v>37</v>
      </c>
      <c r="M332" s="18" t="s">
        <v>37</v>
      </c>
      <c r="N332" s="19"/>
      <c r="O332" s="17" t="s">
        <v>1773</v>
      </c>
      <c r="P332" s="17" t="s">
        <v>1774</v>
      </c>
      <c r="Q332" s="17" t="s">
        <v>1581</v>
      </c>
      <c r="R332" s="17" t="s">
        <v>1582</v>
      </c>
      <c r="S332" s="17" t="s">
        <v>1775</v>
      </c>
      <c r="T332" s="17" t="s">
        <v>43</v>
      </c>
      <c r="U332" s="17">
        <v>210347</v>
      </c>
      <c r="V332" s="17" t="str">
        <f t="shared" si="20"/>
        <v>09/26/2019</v>
      </c>
      <c r="W332" s="17" t="s">
        <v>44</v>
      </c>
    </row>
    <row r="333" spans="1:24" s="17" customFormat="1" x14ac:dyDescent="0.25">
      <c r="A333" s="17" t="s">
        <v>24</v>
      </c>
      <c r="B333" s="17" t="s">
        <v>1577</v>
      </c>
      <c r="C333" s="17" t="s">
        <v>1776</v>
      </c>
      <c r="D333" s="17" t="s">
        <v>35</v>
      </c>
      <c r="E333" s="17" t="s">
        <v>26</v>
      </c>
      <c r="F333" s="17" t="s">
        <v>28</v>
      </c>
      <c r="G333" s="17" t="s">
        <v>1301</v>
      </c>
      <c r="H333" s="18" t="s">
        <v>280</v>
      </c>
      <c r="I333" s="18" t="s">
        <v>36</v>
      </c>
      <c r="J333" s="18" t="str">
        <f t="shared" si="19"/>
        <v>2019</v>
      </c>
      <c r="K333" s="18"/>
      <c r="L333" s="18" t="s">
        <v>37</v>
      </c>
      <c r="M333" s="18" t="s">
        <v>37</v>
      </c>
      <c r="N333" s="19"/>
      <c r="O333" s="17" t="s">
        <v>1777</v>
      </c>
      <c r="P333" s="17" t="s">
        <v>1778</v>
      </c>
      <c r="Q333" s="17" t="s">
        <v>1581</v>
      </c>
      <c r="R333" s="17" t="s">
        <v>1582</v>
      </c>
      <c r="S333" s="17" t="s">
        <v>1779</v>
      </c>
      <c r="T333" s="17" t="s">
        <v>43</v>
      </c>
      <c r="U333" s="17">
        <v>210348</v>
      </c>
      <c r="V333" s="17" t="str">
        <f t="shared" si="20"/>
        <v>09/26/2019</v>
      </c>
      <c r="W333" s="17" t="s">
        <v>44</v>
      </c>
    </row>
    <row r="334" spans="1:24" s="17" customFormat="1" x14ac:dyDescent="0.25">
      <c r="A334" s="17" t="s">
        <v>24</v>
      </c>
      <c r="B334" s="17" t="s">
        <v>1577</v>
      </c>
      <c r="C334" s="17" t="s">
        <v>1780</v>
      </c>
      <c r="D334" s="17" t="s">
        <v>35</v>
      </c>
      <c r="E334" s="17" t="s">
        <v>26</v>
      </c>
      <c r="F334" s="17" t="s">
        <v>28</v>
      </c>
      <c r="G334" s="17" t="s">
        <v>1301</v>
      </c>
      <c r="H334" s="18" t="s">
        <v>280</v>
      </c>
      <c r="I334" s="18" t="s">
        <v>36</v>
      </c>
      <c r="J334" s="18" t="str">
        <f t="shared" si="19"/>
        <v>2019</v>
      </c>
      <c r="K334" s="18"/>
      <c r="L334" s="18" t="s">
        <v>37</v>
      </c>
      <c r="M334" s="18" t="s">
        <v>37</v>
      </c>
      <c r="N334" s="19"/>
      <c r="O334" s="17" t="s">
        <v>1781</v>
      </c>
      <c r="P334" s="17" t="s">
        <v>1782</v>
      </c>
      <c r="Q334" s="17" t="s">
        <v>1581</v>
      </c>
      <c r="R334" s="17" t="s">
        <v>1582</v>
      </c>
      <c r="S334" s="17" t="s">
        <v>1783</v>
      </c>
      <c r="T334" s="17" t="s">
        <v>43</v>
      </c>
      <c r="U334" s="17">
        <v>210349</v>
      </c>
      <c r="V334" s="17" t="str">
        <f t="shared" si="20"/>
        <v>09/26/2019</v>
      </c>
      <c r="W334" s="17" t="s">
        <v>44</v>
      </c>
      <c r="X334" s="17" t="s">
        <v>1784</v>
      </c>
    </row>
    <row r="335" spans="1:24" x14ac:dyDescent="0.25">
      <c r="A335" t="s">
        <v>24</v>
      </c>
      <c r="B335" t="s">
        <v>1785</v>
      </c>
      <c r="C335" t="s">
        <v>1786</v>
      </c>
      <c r="D335" t="s">
        <v>35</v>
      </c>
      <c r="E335" t="s">
        <v>26</v>
      </c>
      <c r="F335" t="s">
        <v>26</v>
      </c>
      <c r="G335" t="s">
        <v>27</v>
      </c>
      <c r="H335" t="s">
        <v>28</v>
      </c>
      <c r="I335" s="3" t="s">
        <v>52</v>
      </c>
      <c r="J335" s="3" t="str">
        <f t="shared" si="19"/>
        <v>2019</v>
      </c>
      <c r="K335" s="3"/>
      <c r="L335" s="3"/>
      <c r="M335" s="3"/>
      <c r="N335" s="3"/>
      <c r="O335" s="2" t="s">
        <v>1787</v>
      </c>
      <c r="P335" t="s">
        <v>1788</v>
      </c>
      <c r="Q335" t="s">
        <v>1789</v>
      </c>
      <c r="R335" t="s">
        <v>1790</v>
      </c>
      <c r="S335" t="s">
        <v>1791</v>
      </c>
      <c r="T335" t="s">
        <v>43</v>
      </c>
      <c r="U335">
        <v>132285</v>
      </c>
      <c r="V335" t="str">
        <f t="shared" si="20"/>
        <v>10/25/2019</v>
      </c>
      <c r="W335" t="s">
        <v>44</v>
      </c>
    </row>
    <row r="336" spans="1:24" x14ac:dyDescent="0.25">
      <c r="A336" t="s">
        <v>24</v>
      </c>
      <c r="B336" t="s">
        <v>1792</v>
      </c>
      <c r="C336" t="s">
        <v>1793</v>
      </c>
      <c r="D336" t="s">
        <v>107</v>
      </c>
      <c r="E336" t="s">
        <v>26</v>
      </c>
      <c r="F336" t="s">
        <v>26</v>
      </c>
      <c r="G336" t="s">
        <v>37</v>
      </c>
      <c r="H336" t="s">
        <v>28</v>
      </c>
      <c r="I336" s="3" t="s">
        <v>1794</v>
      </c>
      <c r="J336" s="3" t="str">
        <f t="shared" si="19"/>
        <v>2023</v>
      </c>
      <c r="K336" s="3"/>
      <c r="L336" s="3"/>
      <c r="M336" s="3"/>
      <c r="N336" s="3"/>
      <c r="O336" s="2" t="s">
        <v>1795</v>
      </c>
      <c r="P336" t="s">
        <v>1796</v>
      </c>
      <c r="Q336" t="s">
        <v>1797</v>
      </c>
      <c r="R336" t="s">
        <v>1798</v>
      </c>
      <c r="S336" t="s">
        <v>1799</v>
      </c>
      <c r="T336" t="s">
        <v>43</v>
      </c>
      <c r="U336">
        <v>308010</v>
      </c>
      <c r="V336" t="str">
        <f t="shared" si="20"/>
        <v>09/22/2023</v>
      </c>
      <c r="W336" t="s">
        <v>44</v>
      </c>
    </row>
    <row r="337" spans="1:24" s="17" customFormat="1" x14ac:dyDescent="0.25">
      <c r="A337" s="17" t="s">
        <v>24</v>
      </c>
      <c r="B337" s="17" t="s">
        <v>1792</v>
      </c>
      <c r="C337" s="17" t="s">
        <v>1800</v>
      </c>
      <c r="D337" s="17" t="s">
        <v>35</v>
      </c>
      <c r="E337" s="17" t="s">
        <v>26</v>
      </c>
      <c r="F337" s="17" t="s">
        <v>28</v>
      </c>
      <c r="G337" s="18"/>
      <c r="H337" s="18" t="s">
        <v>280</v>
      </c>
      <c r="I337" s="18" t="s">
        <v>52</v>
      </c>
      <c r="J337" s="18" t="str">
        <f t="shared" si="19"/>
        <v>2019</v>
      </c>
      <c r="K337" s="18"/>
      <c r="L337" s="18" t="s">
        <v>37</v>
      </c>
      <c r="M337" s="18" t="s">
        <v>37</v>
      </c>
      <c r="O337" s="17" t="s">
        <v>1801</v>
      </c>
      <c r="P337" s="17" t="s">
        <v>1802</v>
      </c>
      <c r="Q337" s="17" t="s">
        <v>1797</v>
      </c>
      <c r="R337" s="17" t="s">
        <v>1798</v>
      </c>
      <c r="S337" s="17" t="s">
        <v>1803</v>
      </c>
      <c r="T337" s="17" t="s">
        <v>43</v>
      </c>
      <c r="U337" s="17">
        <v>307953</v>
      </c>
      <c r="V337" s="17" t="str">
        <f t="shared" si="20"/>
        <v>10/25/2019</v>
      </c>
      <c r="W337" s="17" t="s">
        <v>44</v>
      </c>
    </row>
    <row r="338" spans="1:24" s="17" customFormat="1" x14ac:dyDescent="0.25">
      <c r="A338" s="17" t="s">
        <v>24</v>
      </c>
      <c r="B338" s="17" t="s">
        <v>1792</v>
      </c>
      <c r="C338" s="17" t="s">
        <v>1804</v>
      </c>
      <c r="D338" s="17" t="s">
        <v>35</v>
      </c>
      <c r="E338" s="17" t="s">
        <v>26</v>
      </c>
      <c r="F338" s="17" t="s">
        <v>28</v>
      </c>
      <c r="G338" s="18"/>
      <c r="H338" s="18" t="s">
        <v>280</v>
      </c>
      <c r="I338" s="18" t="s">
        <v>52</v>
      </c>
      <c r="J338" s="18" t="str">
        <f t="shared" si="19"/>
        <v>2019</v>
      </c>
      <c r="K338" s="18"/>
      <c r="L338" s="18" t="s">
        <v>37</v>
      </c>
      <c r="M338" s="18" t="s">
        <v>37</v>
      </c>
      <c r="O338" s="17" t="s">
        <v>1805</v>
      </c>
      <c r="P338" s="17" t="s">
        <v>1806</v>
      </c>
      <c r="Q338" s="17" t="s">
        <v>1797</v>
      </c>
      <c r="R338" s="17" t="s">
        <v>1798</v>
      </c>
      <c r="S338" s="17" t="s">
        <v>1807</v>
      </c>
      <c r="T338" s="17" t="s">
        <v>43</v>
      </c>
      <c r="U338" s="17">
        <v>307955</v>
      </c>
      <c r="V338" s="17" t="str">
        <f t="shared" si="20"/>
        <v>10/25/2019</v>
      </c>
      <c r="W338" s="17" t="s">
        <v>44</v>
      </c>
      <c r="X338" s="17" t="s">
        <v>1808</v>
      </c>
    </row>
    <row r="339" spans="1:24" s="17" customFormat="1" x14ac:dyDescent="0.25">
      <c r="A339" s="17" t="s">
        <v>24</v>
      </c>
      <c r="B339" s="17" t="s">
        <v>1792</v>
      </c>
      <c r="C339" s="17" t="s">
        <v>1809</v>
      </c>
      <c r="D339" s="17" t="s">
        <v>35</v>
      </c>
      <c r="E339" s="17" t="s">
        <v>26</v>
      </c>
      <c r="F339" s="17" t="s">
        <v>28</v>
      </c>
      <c r="G339" s="18"/>
      <c r="H339" s="18" t="s">
        <v>280</v>
      </c>
      <c r="I339" s="18" t="s">
        <v>52</v>
      </c>
      <c r="J339" s="18" t="str">
        <f t="shared" si="19"/>
        <v>2019</v>
      </c>
      <c r="K339" s="18"/>
      <c r="L339" s="18" t="s">
        <v>37</v>
      </c>
      <c r="M339" s="18" t="s">
        <v>37</v>
      </c>
      <c r="O339" s="17" t="s">
        <v>1810</v>
      </c>
      <c r="P339" s="17" t="s">
        <v>1811</v>
      </c>
      <c r="Q339" s="17" t="s">
        <v>1797</v>
      </c>
      <c r="R339" s="17" t="s">
        <v>1798</v>
      </c>
      <c r="S339" s="17" t="s">
        <v>1812</v>
      </c>
      <c r="T339" s="17" t="s">
        <v>43</v>
      </c>
      <c r="U339" s="17">
        <v>307956</v>
      </c>
      <c r="V339" s="17" t="str">
        <f t="shared" si="20"/>
        <v>10/25/2019</v>
      </c>
      <c r="W339" s="17" t="s">
        <v>44</v>
      </c>
      <c r="X339" s="17" t="s">
        <v>1813</v>
      </c>
    </row>
    <row r="340" spans="1:24" s="17" customFormat="1" x14ac:dyDescent="0.25">
      <c r="A340" s="17" t="s">
        <v>24</v>
      </c>
      <c r="B340" s="17" t="s">
        <v>1792</v>
      </c>
      <c r="C340" s="17" t="s">
        <v>1814</v>
      </c>
      <c r="D340" s="17" t="s">
        <v>35</v>
      </c>
      <c r="E340" s="17" t="s">
        <v>26</v>
      </c>
      <c r="F340" s="17" t="s">
        <v>28</v>
      </c>
      <c r="G340" s="18"/>
      <c r="H340" s="18" t="s">
        <v>280</v>
      </c>
      <c r="I340" s="18" t="s">
        <v>52</v>
      </c>
      <c r="J340" s="18" t="str">
        <f t="shared" si="19"/>
        <v>2019</v>
      </c>
      <c r="K340" s="18"/>
      <c r="L340" s="18" t="s">
        <v>37</v>
      </c>
      <c r="M340" s="18" t="s">
        <v>37</v>
      </c>
      <c r="O340" s="17" t="s">
        <v>1815</v>
      </c>
      <c r="P340" s="17" t="s">
        <v>1816</v>
      </c>
      <c r="Q340" s="17" t="s">
        <v>1797</v>
      </c>
      <c r="R340" s="17" t="s">
        <v>1798</v>
      </c>
      <c r="S340" s="17" t="s">
        <v>1817</v>
      </c>
      <c r="T340" s="17" t="s">
        <v>43</v>
      </c>
      <c r="U340" s="17">
        <v>307957</v>
      </c>
      <c r="V340" s="17" t="str">
        <f t="shared" si="20"/>
        <v>10/25/2019</v>
      </c>
      <c r="W340" s="17" t="s">
        <v>44</v>
      </c>
    </row>
    <row r="341" spans="1:24" s="17" customFormat="1" x14ac:dyDescent="0.25">
      <c r="A341" s="17" t="s">
        <v>24</v>
      </c>
      <c r="B341" s="17" t="s">
        <v>1792</v>
      </c>
      <c r="C341" s="17" t="s">
        <v>1818</v>
      </c>
      <c r="D341" s="17" t="s">
        <v>35</v>
      </c>
      <c r="E341" s="17" t="s">
        <v>26</v>
      </c>
      <c r="F341" s="17" t="s">
        <v>28</v>
      </c>
      <c r="G341" s="18"/>
      <c r="H341" s="18" t="s">
        <v>280</v>
      </c>
      <c r="I341" s="18" t="s">
        <v>52</v>
      </c>
      <c r="J341" s="18" t="str">
        <f t="shared" si="19"/>
        <v>2019</v>
      </c>
      <c r="K341" s="18"/>
      <c r="L341" s="18" t="s">
        <v>37</v>
      </c>
      <c r="M341" s="18" t="s">
        <v>37</v>
      </c>
      <c r="O341" s="17" t="s">
        <v>1819</v>
      </c>
      <c r="P341" s="17" t="s">
        <v>1820</v>
      </c>
      <c r="Q341" s="17" t="s">
        <v>1797</v>
      </c>
      <c r="R341" s="17" t="s">
        <v>1798</v>
      </c>
      <c r="S341" s="17" t="s">
        <v>1821</v>
      </c>
      <c r="T341" s="17" t="s">
        <v>43</v>
      </c>
      <c r="U341" s="17">
        <v>307958</v>
      </c>
      <c r="V341" s="17" t="str">
        <f t="shared" si="20"/>
        <v>10/25/2019</v>
      </c>
      <c r="W341" s="17" t="s">
        <v>44</v>
      </c>
      <c r="X341" s="17" t="s">
        <v>1822</v>
      </c>
    </row>
    <row r="342" spans="1:24" s="17" customFormat="1" x14ac:dyDescent="0.25">
      <c r="A342" s="17" t="s">
        <v>24</v>
      </c>
      <c r="B342" s="17" t="s">
        <v>1792</v>
      </c>
      <c r="C342" s="17" t="s">
        <v>1823</v>
      </c>
      <c r="D342" s="17" t="s">
        <v>35</v>
      </c>
      <c r="E342" s="17" t="s">
        <v>26</v>
      </c>
      <c r="F342" s="17" t="s">
        <v>28</v>
      </c>
      <c r="G342" s="18"/>
      <c r="H342" s="18" t="s">
        <v>280</v>
      </c>
      <c r="I342" s="18" t="s">
        <v>52</v>
      </c>
      <c r="J342" s="18" t="str">
        <f t="shared" si="19"/>
        <v>2019</v>
      </c>
      <c r="K342" s="18"/>
      <c r="L342" s="18" t="s">
        <v>37</v>
      </c>
      <c r="M342" s="18" t="s">
        <v>37</v>
      </c>
      <c r="O342" s="17" t="s">
        <v>1824</v>
      </c>
      <c r="P342" s="17" t="s">
        <v>1825</v>
      </c>
      <c r="Q342" s="17" t="s">
        <v>1797</v>
      </c>
      <c r="R342" s="17" t="s">
        <v>1798</v>
      </c>
      <c r="S342" s="17" t="s">
        <v>1826</v>
      </c>
      <c r="T342" s="17" t="s">
        <v>43</v>
      </c>
      <c r="U342" s="17">
        <v>307960</v>
      </c>
      <c r="V342" s="17" t="str">
        <f t="shared" si="20"/>
        <v>10/25/2019</v>
      </c>
      <c r="W342" s="17" t="s">
        <v>44</v>
      </c>
    </row>
    <row r="343" spans="1:24" s="17" customFormat="1" x14ac:dyDescent="0.25">
      <c r="A343" s="17" t="s">
        <v>24</v>
      </c>
      <c r="B343" s="17" t="s">
        <v>1792</v>
      </c>
      <c r="C343" s="17" t="s">
        <v>1827</v>
      </c>
      <c r="D343" s="17" t="s">
        <v>35</v>
      </c>
      <c r="E343" s="17" t="s">
        <v>26</v>
      </c>
      <c r="F343" s="17" t="s">
        <v>28</v>
      </c>
      <c r="G343" s="18"/>
      <c r="H343" s="18" t="s">
        <v>280</v>
      </c>
      <c r="I343" s="18" t="s">
        <v>52</v>
      </c>
      <c r="J343" s="18" t="str">
        <f t="shared" si="19"/>
        <v>2019</v>
      </c>
      <c r="K343" s="18"/>
      <c r="L343" s="18" t="s">
        <v>37</v>
      </c>
      <c r="M343" s="18" t="s">
        <v>37</v>
      </c>
      <c r="O343" s="17" t="s">
        <v>1828</v>
      </c>
      <c r="P343" s="17" t="s">
        <v>1829</v>
      </c>
      <c r="Q343" s="17" t="s">
        <v>1797</v>
      </c>
      <c r="R343" s="17" t="s">
        <v>1798</v>
      </c>
      <c r="S343" s="17" t="s">
        <v>1830</v>
      </c>
      <c r="T343" s="17" t="s">
        <v>43</v>
      </c>
      <c r="U343" s="17">
        <v>307961</v>
      </c>
      <c r="V343" s="17" t="str">
        <f t="shared" si="20"/>
        <v>10/25/2019</v>
      </c>
      <c r="W343" s="17" t="s">
        <v>44</v>
      </c>
    </row>
    <row r="344" spans="1:24" s="17" customFormat="1" x14ac:dyDescent="0.25">
      <c r="A344" s="17" t="s">
        <v>24</v>
      </c>
      <c r="B344" s="17" t="s">
        <v>1792</v>
      </c>
      <c r="C344" s="17" t="s">
        <v>1831</v>
      </c>
      <c r="D344" s="17" t="s">
        <v>35</v>
      </c>
      <c r="E344" s="17" t="s">
        <v>26</v>
      </c>
      <c r="F344" s="17" t="s">
        <v>28</v>
      </c>
      <c r="G344" s="18"/>
      <c r="H344" s="18" t="s">
        <v>280</v>
      </c>
      <c r="I344" s="18" t="s">
        <v>52</v>
      </c>
      <c r="J344" s="18" t="str">
        <f t="shared" si="19"/>
        <v>2019</v>
      </c>
      <c r="K344" s="18"/>
      <c r="L344" s="18" t="s">
        <v>37</v>
      </c>
      <c r="M344" s="18" t="s">
        <v>37</v>
      </c>
      <c r="O344" s="17" t="s">
        <v>1832</v>
      </c>
      <c r="P344" s="17" t="s">
        <v>1833</v>
      </c>
      <c r="Q344" s="17" t="s">
        <v>1797</v>
      </c>
      <c r="R344" s="17" t="s">
        <v>1798</v>
      </c>
      <c r="S344" s="17" t="s">
        <v>1834</v>
      </c>
      <c r="T344" s="17" t="s">
        <v>43</v>
      </c>
      <c r="U344" s="17">
        <v>307962</v>
      </c>
      <c r="V344" s="17" t="str">
        <f t="shared" si="20"/>
        <v>10/25/2019</v>
      </c>
      <c r="W344" s="17" t="s">
        <v>44</v>
      </c>
      <c r="X344" s="17" t="s">
        <v>1835</v>
      </c>
    </row>
    <row r="345" spans="1:24" s="17" customFormat="1" x14ac:dyDescent="0.25">
      <c r="A345" s="17" t="s">
        <v>24</v>
      </c>
      <c r="B345" s="17" t="s">
        <v>1792</v>
      </c>
      <c r="C345" s="17" t="s">
        <v>1836</v>
      </c>
      <c r="D345" s="17" t="s">
        <v>35</v>
      </c>
      <c r="E345" s="17" t="s">
        <v>26</v>
      </c>
      <c r="F345" s="17" t="s">
        <v>28</v>
      </c>
      <c r="G345" s="18"/>
      <c r="H345" s="18" t="s">
        <v>280</v>
      </c>
      <c r="I345" s="18" t="s">
        <v>52</v>
      </c>
      <c r="J345" s="18" t="str">
        <f t="shared" si="19"/>
        <v>2019</v>
      </c>
      <c r="K345" s="18"/>
      <c r="L345" s="18" t="s">
        <v>37</v>
      </c>
      <c r="M345" s="18" t="s">
        <v>37</v>
      </c>
      <c r="O345" s="17" t="s">
        <v>1837</v>
      </c>
      <c r="P345" s="17" t="s">
        <v>1838</v>
      </c>
      <c r="Q345" s="17" t="s">
        <v>1797</v>
      </c>
      <c r="R345" s="17" t="s">
        <v>1798</v>
      </c>
      <c r="S345" s="17" t="s">
        <v>1839</v>
      </c>
      <c r="T345" s="17" t="s">
        <v>43</v>
      </c>
      <c r="U345" s="17">
        <v>307963</v>
      </c>
      <c r="V345" s="17" t="str">
        <f t="shared" si="20"/>
        <v>10/25/2019</v>
      </c>
      <c r="W345" s="17" t="s">
        <v>44</v>
      </c>
    </row>
    <row r="346" spans="1:24" s="17" customFormat="1" x14ac:dyDescent="0.25">
      <c r="A346" s="17" t="s">
        <v>24</v>
      </c>
      <c r="B346" s="17" t="s">
        <v>1792</v>
      </c>
      <c r="C346" s="17" t="s">
        <v>1840</v>
      </c>
      <c r="D346" s="17" t="s">
        <v>35</v>
      </c>
      <c r="E346" s="17" t="s">
        <v>26</v>
      </c>
      <c r="F346" s="17" t="s">
        <v>28</v>
      </c>
      <c r="G346" s="18"/>
      <c r="H346" s="18" t="s">
        <v>280</v>
      </c>
      <c r="I346" s="18" t="s">
        <v>52</v>
      </c>
      <c r="J346" s="18" t="str">
        <f t="shared" si="19"/>
        <v>2019</v>
      </c>
      <c r="K346" s="18"/>
      <c r="L346" s="18" t="s">
        <v>37</v>
      </c>
      <c r="M346" s="18" t="s">
        <v>37</v>
      </c>
      <c r="O346" s="17" t="s">
        <v>1841</v>
      </c>
      <c r="P346" s="17" t="s">
        <v>1842</v>
      </c>
      <c r="Q346" s="17" t="s">
        <v>1797</v>
      </c>
      <c r="R346" s="17" t="s">
        <v>1798</v>
      </c>
      <c r="S346" s="17" t="s">
        <v>1843</v>
      </c>
      <c r="T346" s="17" t="s">
        <v>43</v>
      </c>
      <c r="U346" s="17">
        <v>307964</v>
      </c>
      <c r="V346" s="17" t="str">
        <f t="shared" si="20"/>
        <v>10/25/2019</v>
      </c>
      <c r="W346" s="17" t="s">
        <v>44</v>
      </c>
      <c r="X346" s="17" t="s">
        <v>1844</v>
      </c>
    </row>
    <row r="347" spans="1:24" s="17" customFormat="1" x14ac:dyDescent="0.25">
      <c r="A347" s="17" t="s">
        <v>24</v>
      </c>
      <c r="B347" s="17" t="s">
        <v>1792</v>
      </c>
      <c r="C347" s="17" t="s">
        <v>1845</v>
      </c>
      <c r="D347" s="17" t="s">
        <v>35</v>
      </c>
      <c r="E347" s="17" t="s">
        <v>26</v>
      </c>
      <c r="F347" s="17" t="s">
        <v>28</v>
      </c>
      <c r="G347" s="18"/>
      <c r="H347" s="18" t="s">
        <v>280</v>
      </c>
      <c r="I347" s="18" t="s">
        <v>52</v>
      </c>
      <c r="J347" s="18" t="str">
        <f t="shared" si="19"/>
        <v>2019</v>
      </c>
      <c r="K347" s="18"/>
      <c r="L347" s="18" t="s">
        <v>37</v>
      </c>
      <c r="M347" s="18" t="s">
        <v>37</v>
      </c>
      <c r="O347" s="17" t="s">
        <v>1846</v>
      </c>
      <c r="P347" s="17" t="s">
        <v>1847</v>
      </c>
      <c r="Q347" s="17" t="s">
        <v>1797</v>
      </c>
      <c r="R347" s="17" t="s">
        <v>1798</v>
      </c>
      <c r="S347" s="17" t="s">
        <v>1848</v>
      </c>
      <c r="T347" s="17" t="s">
        <v>43</v>
      </c>
      <c r="U347" s="17">
        <v>307965</v>
      </c>
      <c r="V347" s="17" t="str">
        <f t="shared" si="20"/>
        <v>10/25/2019</v>
      </c>
      <c r="W347" s="17" t="s">
        <v>44</v>
      </c>
    </row>
    <row r="348" spans="1:24" s="17" customFormat="1" x14ac:dyDescent="0.25">
      <c r="A348" s="17" t="s">
        <v>24</v>
      </c>
      <c r="B348" s="17" t="s">
        <v>1792</v>
      </c>
      <c r="C348" s="17" t="s">
        <v>1849</v>
      </c>
      <c r="D348" s="17" t="s">
        <v>35</v>
      </c>
      <c r="E348" s="17" t="s">
        <v>26</v>
      </c>
      <c r="F348" s="17" t="s">
        <v>28</v>
      </c>
      <c r="G348" s="18"/>
      <c r="H348" s="18" t="s">
        <v>280</v>
      </c>
      <c r="I348" s="18" t="s">
        <v>52</v>
      </c>
      <c r="J348" s="18" t="str">
        <f t="shared" si="19"/>
        <v>2019</v>
      </c>
      <c r="K348" s="18"/>
      <c r="L348" s="18" t="s">
        <v>37</v>
      </c>
      <c r="M348" s="18" t="s">
        <v>37</v>
      </c>
      <c r="O348" s="17" t="s">
        <v>1850</v>
      </c>
      <c r="P348" s="17" t="s">
        <v>1851</v>
      </c>
      <c r="Q348" s="17" t="s">
        <v>1797</v>
      </c>
      <c r="R348" s="17" t="s">
        <v>1798</v>
      </c>
      <c r="S348" s="17" t="s">
        <v>1852</v>
      </c>
      <c r="T348" s="17" t="s">
        <v>43</v>
      </c>
      <c r="U348" s="17">
        <v>307969</v>
      </c>
      <c r="V348" s="17" t="str">
        <f t="shared" si="20"/>
        <v>10/25/2019</v>
      </c>
      <c r="W348" s="17" t="s">
        <v>44</v>
      </c>
    </row>
    <row r="349" spans="1:24" s="17" customFormat="1" x14ac:dyDescent="0.25">
      <c r="A349" s="17" t="s">
        <v>24</v>
      </c>
      <c r="B349" s="17" t="s">
        <v>1792</v>
      </c>
      <c r="C349" s="17" t="s">
        <v>1853</v>
      </c>
      <c r="D349" s="17" t="s">
        <v>35</v>
      </c>
      <c r="E349" s="17" t="s">
        <v>26</v>
      </c>
      <c r="F349" s="17" t="s">
        <v>28</v>
      </c>
      <c r="G349" s="18"/>
      <c r="H349" s="18" t="s">
        <v>280</v>
      </c>
      <c r="I349" s="18" t="s">
        <v>52</v>
      </c>
      <c r="J349" s="18" t="str">
        <f t="shared" si="19"/>
        <v>2019</v>
      </c>
      <c r="K349" s="18"/>
      <c r="L349" s="18" t="s">
        <v>37</v>
      </c>
      <c r="M349" s="18" t="s">
        <v>37</v>
      </c>
      <c r="O349" s="17" t="s">
        <v>1854</v>
      </c>
      <c r="P349" s="17" t="s">
        <v>1855</v>
      </c>
      <c r="Q349" s="17" t="s">
        <v>1797</v>
      </c>
      <c r="R349" s="17" t="s">
        <v>1798</v>
      </c>
      <c r="S349" s="17" t="s">
        <v>1856</v>
      </c>
      <c r="T349" s="17" t="s">
        <v>43</v>
      </c>
      <c r="U349" s="17">
        <v>307971</v>
      </c>
      <c r="V349" s="17" t="str">
        <f t="shared" si="20"/>
        <v>10/25/2019</v>
      </c>
      <c r="W349" s="17" t="s">
        <v>44</v>
      </c>
    </row>
    <row r="350" spans="1:24" s="17" customFormat="1" x14ac:dyDescent="0.25">
      <c r="A350" s="17" t="s">
        <v>24</v>
      </c>
      <c r="B350" s="17" t="s">
        <v>1792</v>
      </c>
      <c r="C350" s="17" t="s">
        <v>1857</v>
      </c>
      <c r="D350" s="17" t="s">
        <v>35</v>
      </c>
      <c r="E350" s="17" t="s">
        <v>26</v>
      </c>
      <c r="F350" s="17" t="s">
        <v>28</v>
      </c>
      <c r="G350" s="18"/>
      <c r="H350" s="18" t="s">
        <v>280</v>
      </c>
      <c r="I350" s="18" t="s">
        <v>52</v>
      </c>
      <c r="J350" s="18" t="str">
        <f t="shared" si="19"/>
        <v>2019</v>
      </c>
      <c r="K350" s="18"/>
      <c r="L350" s="18" t="s">
        <v>37</v>
      </c>
      <c r="M350" s="18" t="s">
        <v>37</v>
      </c>
      <c r="O350" s="17" t="s">
        <v>1858</v>
      </c>
      <c r="P350" s="17" t="s">
        <v>1859</v>
      </c>
      <c r="Q350" s="17" t="s">
        <v>1797</v>
      </c>
      <c r="R350" s="17" t="s">
        <v>1798</v>
      </c>
      <c r="S350" s="17" t="s">
        <v>1860</v>
      </c>
      <c r="T350" s="17" t="s">
        <v>43</v>
      </c>
      <c r="U350" s="17">
        <v>307973</v>
      </c>
      <c r="V350" s="17" t="str">
        <f t="shared" si="20"/>
        <v>10/25/2019</v>
      </c>
      <c r="W350" s="17" t="s">
        <v>44</v>
      </c>
    </row>
    <row r="351" spans="1:24" s="17" customFormat="1" x14ac:dyDescent="0.25">
      <c r="A351" s="17" t="s">
        <v>24</v>
      </c>
      <c r="B351" s="17" t="s">
        <v>1792</v>
      </c>
      <c r="C351" s="17" t="s">
        <v>1861</v>
      </c>
      <c r="D351" s="17" t="s">
        <v>35</v>
      </c>
      <c r="E351" s="17" t="s">
        <v>26</v>
      </c>
      <c r="F351" s="17" t="s">
        <v>28</v>
      </c>
      <c r="G351" s="18"/>
      <c r="H351" s="18" t="s">
        <v>280</v>
      </c>
      <c r="I351" s="18" t="s">
        <v>52</v>
      </c>
      <c r="J351" s="18" t="str">
        <f t="shared" si="19"/>
        <v>2019</v>
      </c>
      <c r="K351" s="18"/>
      <c r="L351" s="18" t="s">
        <v>37</v>
      </c>
      <c r="M351" s="18" t="s">
        <v>37</v>
      </c>
      <c r="O351" s="17" t="s">
        <v>1862</v>
      </c>
      <c r="P351" s="17" t="s">
        <v>1863</v>
      </c>
      <c r="Q351" s="17" t="s">
        <v>1797</v>
      </c>
      <c r="R351" s="17" t="s">
        <v>1798</v>
      </c>
      <c r="S351" s="17" t="s">
        <v>1864</v>
      </c>
      <c r="T351" s="17" t="s">
        <v>43</v>
      </c>
      <c r="U351" s="17">
        <v>307976</v>
      </c>
      <c r="V351" s="17" t="str">
        <f t="shared" si="20"/>
        <v>10/25/2019</v>
      </c>
      <c r="W351" s="17" t="s">
        <v>44</v>
      </c>
      <c r="X351" s="17" t="s">
        <v>1865</v>
      </c>
    </row>
    <row r="352" spans="1:24" s="17" customFormat="1" x14ac:dyDescent="0.25">
      <c r="A352" s="17" t="s">
        <v>24</v>
      </c>
      <c r="B352" s="17" t="s">
        <v>1792</v>
      </c>
      <c r="C352" s="17" t="s">
        <v>1866</v>
      </c>
      <c r="D352" s="17" t="s">
        <v>35</v>
      </c>
      <c r="E352" s="17" t="s">
        <v>26</v>
      </c>
      <c r="F352" s="17" t="s">
        <v>28</v>
      </c>
      <c r="G352" s="18"/>
      <c r="H352" s="18" t="s">
        <v>28</v>
      </c>
      <c r="I352" s="18" t="s">
        <v>1867</v>
      </c>
      <c r="J352" s="18" t="str">
        <f t="shared" si="19"/>
        <v>2020</v>
      </c>
      <c r="K352" s="18"/>
      <c r="L352" s="18" t="s">
        <v>37</v>
      </c>
      <c r="M352" s="18" t="s">
        <v>37</v>
      </c>
      <c r="O352" s="17" t="s">
        <v>1868</v>
      </c>
      <c r="P352" s="17" t="s">
        <v>1869</v>
      </c>
      <c r="Q352" s="17" t="s">
        <v>1797</v>
      </c>
      <c r="R352" s="17" t="s">
        <v>1798</v>
      </c>
      <c r="S352" s="17" t="s">
        <v>1870</v>
      </c>
      <c r="T352" s="17" t="s">
        <v>43</v>
      </c>
      <c r="U352" s="17">
        <v>307985</v>
      </c>
      <c r="V352" s="17" t="str">
        <f t="shared" si="20"/>
        <v>05/20/2020</v>
      </c>
      <c r="W352" s="17" t="s">
        <v>44</v>
      </c>
    </row>
    <row r="353" spans="1:24" s="17" customFormat="1" x14ac:dyDescent="0.25">
      <c r="A353" s="17" t="s">
        <v>24</v>
      </c>
      <c r="B353" s="17" t="s">
        <v>1792</v>
      </c>
      <c r="C353" s="17" t="s">
        <v>1871</v>
      </c>
      <c r="D353" s="17" t="s">
        <v>35</v>
      </c>
      <c r="E353" s="17" t="s">
        <v>26</v>
      </c>
      <c r="F353" s="17" t="s">
        <v>26</v>
      </c>
      <c r="G353" s="18" t="s">
        <v>37</v>
      </c>
      <c r="H353" s="18" t="s">
        <v>28</v>
      </c>
      <c r="I353" s="18" t="s">
        <v>52</v>
      </c>
      <c r="J353" s="18" t="str">
        <f t="shared" si="19"/>
        <v>2019</v>
      </c>
      <c r="K353" s="18"/>
      <c r="L353" s="18"/>
      <c r="M353" s="19"/>
      <c r="O353" s="17" t="s">
        <v>1872</v>
      </c>
      <c r="P353" s="17" t="s">
        <v>1873</v>
      </c>
      <c r="Q353" s="17" t="s">
        <v>1797</v>
      </c>
      <c r="R353" s="17" t="s">
        <v>1798</v>
      </c>
      <c r="S353" s="17" t="s">
        <v>1874</v>
      </c>
      <c r="T353" s="17" t="s">
        <v>43</v>
      </c>
      <c r="U353" s="17">
        <v>307959</v>
      </c>
      <c r="V353" s="17" t="str">
        <f t="shared" si="20"/>
        <v>10/25/2019</v>
      </c>
      <c r="W353" s="17" t="s">
        <v>44</v>
      </c>
      <c r="X353" s="17" t="s">
        <v>1875</v>
      </c>
    </row>
    <row r="354" spans="1:24" s="17" customFormat="1" x14ac:dyDescent="0.25">
      <c r="A354" s="17" t="s">
        <v>24</v>
      </c>
      <c r="B354" s="17" t="s">
        <v>1792</v>
      </c>
      <c r="C354" s="17" t="s">
        <v>235</v>
      </c>
      <c r="D354" s="17" t="s">
        <v>35</v>
      </c>
      <c r="E354" s="17" t="s">
        <v>26</v>
      </c>
      <c r="F354" s="17" t="s">
        <v>28</v>
      </c>
      <c r="G354" s="18"/>
      <c r="H354" s="18" t="s">
        <v>280</v>
      </c>
      <c r="I354" s="18" t="s">
        <v>1876</v>
      </c>
      <c r="J354" s="18" t="str">
        <f t="shared" si="19"/>
        <v>2021</v>
      </c>
      <c r="K354" s="18"/>
      <c r="L354" s="18" t="s">
        <v>37</v>
      </c>
      <c r="M354" s="18" t="s">
        <v>37</v>
      </c>
      <c r="O354" s="17" t="s">
        <v>1877</v>
      </c>
      <c r="P354" s="17" t="s">
        <v>1878</v>
      </c>
      <c r="Q354" s="17" t="s">
        <v>1797</v>
      </c>
      <c r="R354" s="17" t="s">
        <v>1798</v>
      </c>
      <c r="S354" s="17" t="s">
        <v>1879</v>
      </c>
      <c r="T354" s="17" t="s">
        <v>43</v>
      </c>
      <c r="U354" s="17">
        <v>307996</v>
      </c>
      <c r="V354" s="17" t="str">
        <f t="shared" si="20"/>
        <v>01/27/2021</v>
      </c>
      <c r="W354" s="17" t="s">
        <v>44</v>
      </c>
      <c r="X354" s="17" t="s">
        <v>1880</v>
      </c>
    </row>
    <row r="355" spans="1:24" s="17" customFormat="1" x14ac:dyDescent="0.25">
      <c r="A355" s="17" t="s">
        <v>24</v>
      </c>
      <c r="B355" s="17" t="s">
        <v>1792</v>
      </c>
      <c r="C355" s="17" t="s">
        <v>1881</v>
      </c>
      <c r="D355" s="17" t="s">
        <v>35</v>
      </c>
      <c r="E355" s="17" t="s">
        <v>26</v>
      </c>
      <c r="F355" s="17" t="s">
        <v>26</v>
      </c>
      <c r="G355" s="18" t="s">
        <v>37</v>
      </c>
      <c r="H355" s="18" t="s">
        <v>28</v>
      </c>
      <c r="I355" s="18" t="s">
        <v>52</v>
      </c>
      <c r="J355" s="18" t="str">
        <f t="shared" si="19"/>
        <v>2019</v>
      </c>
      <c r="K355" s="18"/>
      <c r="L355" s="18"/>
      <c r="M355" s="19"/>
      <c r="O355" s="17" t="s">
        <v>1882</v>
      </c>
      <c r="P355" s="17" t="s">
        <v>1883</v>
      </c>
      <c r="Q355" s="17" t="s">
        <v>1797</v>
      </c>
      <c r="R355" s="17" t="s">
        <v>1798</v>
      </c>
      <c r="S355" s="17" t="s">
        <v>1884</v>
      </c>
      <c r="T355" s="17" t="s">
        <v>43</v>
      </c>
      <c r="U355" s="17">
        <v>307966</v>
      </c>
      <c r="V355" s="17" t="str">
        <f t="shared" si="20"/>
        <v>10/25/2019</v>
      </c>
      <c r="W355" s="17" t="s">
        <v>44</v>
      </c>
    </row>
    <row r="356" spans="1:24" s="17" customFormat="1" x14ac:dyDescent="0.25">
      <c r="A356" s="17" t="s">
        <v>24</v>
      </c>
      <c r="B356" s="17" t="s">
        <v>1792</v>
      </c>
      <c r="C356" s="17" t="s">
        <v>1885</v>
      </c>
      <c r="D356" s="17" t="s">
        <v>35</v>
      </c>
      <c r="E356" s="17" t="s">
        <v>26</v>
      </c>
      <c r="F356" s="17" t="s">
        <v>26</v>
      </c>
      <c r="G356" s="18" t="s">
        <v>37</v>
      </c>
      <c r="H356" s="18" t="s">
        <v>28</v>
      </c>
      <c r="I356" s="18" t="s">
        <v>52</v>
      </c>
      <c r="J356" s="18" t="str">
        <f t="shared" si="19"/>
        <v>2019</v>
      </c>
      <c r="K356" s="18"/>
      <c r="L356" s="18"/>
      <c r="M356" s="19"/>
      <c r="O356" s="17" t="s">
        <v>1886</v>
      </c>
      <c r="P356" s="17" t="s">
        <v>1887</v>
      </c>
      <c r="Q356" s="17" t="s">
        <v>1797</v>
      </c>
      <c r="R356" s="17" t="s">
        <v>1798</v>
      </c>
      <c r="S356" s="17" t="s">
        <v>1888</v>
      </c>
      <c r="T356" s="17" t="s">
        <v>43</v>
      </c>
      <c r="U356" s="17">
        <v>307967</v>
      </c>
      <c r="V356" s="17" t="str">
        <f t="shared" si="20"/>
        <v>10/25/2019</v>
      </c>
      <c r="W356" s="17" t="s">
        <v>44</v>
      </c>
      <c r="X356" s="17" t="s">
        <v>1889</v>
      </c>
    </row>
    <row r="357" spans="1:24" s="17" customFormat="1" x14ac:dyDescent="0.25">
      <c r="A357" s="17" t="s">
        <v>24</v>
      </c>
      <c r="B357" s="17" t="s">
        <v>1792</v>
      </c>
      <c r="C357" s="17" t="s">
        <v>1890</v>
      </c>
      <c r="D357" s="17" t="s">
        <v>35</v>
      </c>
      <c r="E357" s="17" t="s">
        <v>26</v>
      </c>
      <c r="F357" s="17" t="s">
        <v>26</v>
      </c>
      <c r="G357" s="18" t="s">
        <v>37</v>
      </c>
      <c r="H357" s="18" t="s">
        <v>28</v>
      </c>
      <c r="I357" s="18" t="s">
        <v>52</v>
      </c>
      <c r="J357" s="18" t="str">
        <f t="shared" si="19"/>
        <v>2019</v>
      </c>
      <c r="K357" s="18"/>
      <c r="L357" s="18"/>
      <c r="M357" s="19"/>
      <c r="O357" s="17" t="s">
        <v>1891</v>
      </c>
      <c r="P357" s="17" t="s">
        <v>1892</v>
      </c>
      <c r="Q357" s="17" t="s">
        <v>1797</v>
      </c>
      <c r="R357" s="17" t="s">
        <v>1798</v>
      </c>
      <c r="S357" s="17" t="s">
        <v>1893</v>
      </c>
      <c r="T357" s="17" t="s">
        <v>43</v>
      </c>
      <c r="U357" s="17">
        <v>307968</v>
      </c>
      <c r="V357" s="17" t="str">
        <f t="shared" si="20"/>
        <v>10/25/2019</v>
      </c>
      <c r="W357" s="17" t="s">
        <v>44</v>
      </c>
      <c r="X357" s="17" t="s">
        <v>1894</v>
      </c>
    </row>
    <row r="358" spans="1:24" s="17" customFormat="1" x14ac:dyDescent="0.25">
      <c r="A358" s="17" t="s">
        <v>24</v>
      </c>
      <c r="B358" s="17" t="s">
        <v>1792</v>
      </c>
      <c r="C358" s="17" t="s">
        <v>1895</v>
      </c>
      <c r="D358" s="17" t="s">
        <v>35</v>
      </c>
      <c r="E358" s="17" t="s">
        <v>26</v>
      </c>
      <c r="F358" s="17" t="s">
        <v>26</v>
      </c>
      <c r="G358" s="18" t="s">
        <v>37</v>
      </c>
      <c r="H358" s="18" t="s">
        <v>28</v>
      </c>
      <c r="I358" s="18" t="s">
        <v>52</v>
      </c>
      <c r="J358" s="18" t="str">
        <f t="shared" si="19"/>
        <v>2019</v>
      </c>
      <c r="K358" s="18"/>
      <c r="L358" s="18"/>
      <c r="M358" s="19"/>
      <c r="O358" s="17" t="s">
        <v>1896</v>
      </c>
      <c r="P358" s="17" t="s">
        <v>1897</v>
      </c>
      <c r="Q358" s="17" t="s">
        <v>1797</v>
      </c>
      <c r="R358" s="17" t="s">
        <v>1798</v>
      </c>
      <c r="S358" s="17" t="s">
        <v>1898</v>
      </c>
      <c r="T358" s="17" t="s">
        <v>43</v>
      </c>
      <c r="U358" s="17">
        <v>307970</v>
      </c>
      <c r="V358" s="17" t="str">
        <f t="shared" si="20"/>
        <v>10/25/2019</v>
      </c>
      <c r="W358" s="17" t="s">
        <v>44</v>
      </c>
    </row>
    <row r="359" spans="1:24" s="17" customFormat="1" x14ac:dyDescent="0.25">
      <c r="A359" s="17" t="s">
        <v>24</v>
      </c>
      <c r="B359" s="17" t="s">
        <v>1792</v>
      </c>
      <c r="C359" s="17" t="s">
        <v>679</v>
      </c>
      <c r="D359" s="17" t="s">
        <v>35</v>
      </c>
      <c r="E359" s="17" t="s">
        <v>26</v>
      </c>
      <c r="F359" s="17" t="s">
        <v>26</v>
      </c>
      <c r="G359" s="18" t="s">
        <v>37</v>
      </c>
      <c r="H359" s="18" t="s">
        <v>28</v>
      </c>
      <c r="I359" s="18" t="s">
        <v>52</v>
      </c>
      <c r="J359" s="18" t="str">
        <f t="shared" si="19"/>
        <v>2019</v>
      </c>
      <c r="K359" s="18"/>
      <c r="L359" s="18"/>
      <c r="M359" s="19"/>
      <c r="O359" s="17" t="s">
        <v>1899</v>
      </c>
      <c r="P359" s="17" t="s">
        <v>1900</v>
      </c>
      <c r="Q359" s="17" t="s">
        <v>1797</v>
      </c>
      <c r="R359" s="17" t="s">
        <v>1798</v>
      </c>
      <c r="S359" s="17" t="s">
        <v>1901</v>
      </c>
      <c r="T359" s="17" t="s">
        <v>43</v>
      </c>
      <c r="U359" s="17">
        <v>307972</v>
      </c>
      <c r="V359" s="17" t="str">
        <f t="shared" si="20"/>
        <v>10/25/2019</v>
      </c>
      <c r="W359" s="17" t="s">
        <v>44</v>
      </c>
    </row>
    <row r="360" spans="1:24" s="17" customFormat="1" x14ac:dyDescent="0.25">
      <c r="A360" s="17" t="s">
        <v>24</v>
      </c>
      <c r="B360" s="17" t="s">
        <v>1792</v>
      </c>
      <c r="C360" s="17" t="s">
        <v>1902</v>
      </c>
      <c r="D360" s="17" t="s">
        <v>35</v>
      </c>
      <c r="E360" s="17" t="s">
        <v>26</v>
      </c>
      <c r="F360" s="17" t="s">
        <v>26</v>
      </c>
      <c r="G360" s="18" t="s">
        <v>37</v>
      </c>
      <c r="H360" s="18" t="s">
        <v>28</v>
      </c>
      <c r="I360" s="18" t="s">
        <v>52</v>
      </c>
      <c r="J360" s="18" t="str">
        <f t="shared" si="19"/>
        <v>2019</v>
      </c>
      <c r="K360" s="18"/>
      <c r="L360" s="18"/>
      <c r="M360" s="19"/>
      <c r="O360" s="17" t="s">
        <v>1903</v>
      </c>
      <c r="P360" s="17" t="s">
        <v>1904</v>
      </c>
      <c r="Q360" s="17" t="s">
        <v>1797</v>
      </c>
      <c r="R360" s="17" t="s">
        <v>1798</v>
      </c>
      <c r="S360" s="17" t="s">
        <v>1905</v>
      </c>
      <c r="T360" s="17" t="s">
        <v>43</v>
      </c>
      <c r="U360" s="17">
        <v>307975</v>
      </c>
      <c r="V360" s="17" t="str">
        <f t="shared" si="20"/>
        <v>10/25/2019</v>
      </c>
      <c r="W360" s="17" t="s">
        <v>44</v>
      </c>
    </row>
    <row r="361" spans="1:24" s="17" customFormat="1" x14ac:dyDescent="0.25">
      <c r="A361" s="17" t="s">
        <v>24</v>
      </c>
      <c r="B361" s="17" t="s">
        <v>1792</v>
      </c>
      <c r="C361" s="17" t="s">
        <v>1906</v>
      </c>
      <c r="D361" s="17" t="s">
        <v>35</v>
      </c>
      <c r="E361" s="17" t="s">
        <v>26</v>
      </c>
      <c r="F361" s="17" t="s">
        <v>26</v>
      </c>
      <c r="G361" s="18" t="s">
        <v>37</v>
      </c>
      <c r="H361" s="18" t="s">
        <v>28</v>
      </c>
      <c r="I361" s="18" t="s">
        <v>1907</v>
      </c>
      <c r="J361" s="18" t="str">
        <f t="shared" si="19"/>
        <v>2019</v>
      </c>
      <c r="K361" s="18"/>
      <c r="L361" s="18"/>
      <c r="M361" s="19"/>
      <c r="O361" s="17" t="s">
        <v>1908</v>
      </c>
      <c r="P361" s="17" t="s">
        <v>1909</v>
      </c>
      <c r="Q361" s="17" t="s">
        <v>1797</v>
      </c>
      <c r="R361" s="17" t="s">
        <v>1798</v>
      </c>
      <c r="S361" s="17" t="s">
        <v>1910</v>
      </c>
      <c r="T361" s="17" t="s">
        <v>43</v>
      </c>
      <c r="U361" s="17">
        <v>307984</v>
      </c>
      <c r="V361" s="17" t="str">
        <f t="shared" si="20"/>
        <v>11/12/2019</v>
      </c>
      <c r="W361" s="17" t="s">
        <v>44</v>
      </c>
      <c r="X361" s="17" t="s">
        <v>1911</v>
      </c>
    </row>
    <row r="362" spans="1:24" s="17" customFormat="1" x14ac:dyDescent="0.25">
      <c r="A362" s="17" t="s">
        <v>24</v>
      </c>
      <c r="B362" s="17" t="s">
        <v>1367</v>
      </c>
      <c r="C362" s="17" t="s">
        <v>1912</v>
      </c>
      <c r="D362" s="17" t="s">
        <v>35</v>
      </c>
      <c r="E362" s="17" t="s">
        <v>26</v>
      </c>
      <c r="F362" s="17" t="s">
        <v>26</v>
      </c>
      <c r="G362" s="18" t="s">
        <v>27</v>
      </c>
      <c r="H362" s="18" t="s">
        <v>28</v>
      </c>
      <c r="I362" s="18" t="s">
        <v>1913</v>
      </c>
      <c r="J362" s="18" t="str">
        <f t="shared" si="19"/>
        <v>2024</v>
      </c>
      <c r="K362" s="18" t="s">
        <v>1914</v>
      </c>
      <c r="L362" s="18"/>
      <c r="M362" s="19"/>
      <c r="O362" s="17" t="s">
        <v>1915</v>
      </c>
      <c r="P362" s="17" t="s">
        <v>1916</v>
      </c>
      <c r="Q362" s="17" t="s">
        <v>1374</v>
      </c>
      <c r="R362" s="17" t="s">
        <v>1375</v>
      </c>
      <c r="S362" s="17" t="s">
        <v>1917</v>
      </c>
      <c r="T362" s="17" t="s">
        <v>43</v>
      </c>
      <c r="U362" s="17">
        <v>17231888</v>
      </c>
      <c r="V362" s="17" t="str">
        <f t="shared" si="20"/>
        <v>06/05/2024</v>
      </c>
      <c r="W362" s="17" t="s">
        <v>44</v>
      </c>
    </row>
    <row r="363" spans="1:24" s="17" customFormat="1" x14ac:dyDescent="0.25">
      <c r="A363" s="17" t="s">
        <v>24</v>
      </c>
      <c r="B363" s="17" t="s">
        <v>1367</v>
      </c>
      <c r="C363" s="17" t="s">
        <v>1918</v>
      </c>
      <c r="D363" s="17" t="s">
        <v>35</v>
      </c>
      <c r="E363" s="17" t="s">
        <v>26</v>
      </c>
      <c r="F363" s="17" t="s">
        <v>28</v>
      </c>
      <c r="G363" s="18"/>
      <c r="H363" s="18"/>
      <c r="I363" s="18" t="s">
        <v>36</v>
      </c>
      <c r="J363" s="18" t="str">
        <f t="shared" si="19"/>
        <v>2019</v>
      </c>
      <c r="K363" s="18"/>
      <c r="L363" s="18" t="s">
        <v>37</v>
      </c>
      <c r="M363" s="19" t="s">
        <v>1919</v>
      </c>
      <c r="O363" s="17" t="s">
        <v>1920</v>
      </c>
      <c r="P363" s="17" t="s">
        <v>1921</v>
      </c>
      <c r="Q363" s="17" t="s">
        <v>1374</v>
      </c>
      <c r="R363" s="17" t="s">
        <v>1375</v>
      </c>
      <c r="S363" s="17" t="s">
        <v>1922</v>
      </c>
      <c r="T363" s="17" t="s">
        <v>43</v>
      </c>
      <c r="U363" s="17">
        <v>17231689</v>
      </c>
      <c r="V363" s="17" t="str">
        <f t="shared" si="20"/>
        <v>09/26/2019</v>
      </c>
      <c r="W363" s="17" t="s">
        <v>44</v>
      </c>
    </row>
    <row r="364" spans="1:24" s="17" customFormat="1" x14ac:dyDescent="0.25">
      <c r="A364" s="17" t="s">
        <v>24</v>
      </c>
      <c r="B364" s="17" t="s">
        <v>1367</v>
      </c>
      <c r="C364" s="17" t="s">
        <v>1923</v>
      </c>
      <c r="D364" s="17" t="s">
        <v>35</v>
      </c>
      <c r="E364" s="17" t="s">
        <v>26</v>
      </c>
      <c r="F364" s="17" t="s">
        <v>28</v>
      </c>
      <c r="G364" s="18"/>
      <c r="H364" s="18"/>
      <c r="I364" s="18" t="s">
        <v>36</v>
      </c>
      <c r="J364" s="18" t="str">
        <f t="shared" si="19"/>
        <v>2019</v>
      </c>
      <c r="K364" s="18"/>
      <c r="L364" s="18" t="s">
        <v>37</v>
      </c>
      <c r="M364" s="19" t="s">
        <v>37</v>
      </c>
      <c r="O364" s="17" t="s">
        <v>1924</v>
      </c>
      <c r="P364" s="17" t="s">
        <v>1925</v>
      </c>
      <c r="Q364" s="17" t="s">
        <v>1374</v>
      </c>
      <c r="R364" s="17" t="s">
        <v>1375</v>
      </c>
      <c r="S364" s="17" t="s">
        <v>1926</v>
      </c>
      <c r="T364" s="17" t="s">
        <v>43</v>
      </c>
      <c r="U364" s="17">
        <v>17231688</v>
      </c>
      <c r="V364" s="17" t="str">
        <f t="shared" si="20"/>
        <v>09/26/2019</v>
      </c>
      <c r="W364" s="17" t="s">
        <v>44</v>
      </c>
      <c r="X364" s="17" t="s">
        <v>1927</v>
      </c>
    </row>
    <row r="365" spans="1:24" s="17" customFormat="1" x14ac:dyDescent="0.25">
      <c r="A365" s="17" t="s">
        <v>24</v>
      </c>
      <c r="B365" s="17" t="s">
        <v>1367</v>
      </c>
      <c r="C365" s="17" t="s">
        <v>1928</v>
      </c>
      <c r="D365" s="17" t="s">
        <v>35</v>
      </c>
      <c r="E365" s="17" t="s">
        <v>26</v>
      </c>
      <c r="F365" s="17" t="s">
        <v>28</v>
      </c>
      <c r="G365" s="18"/>
      <c r="H365" s="18"/>
      <c r="I365" s="18" t="s">
        <v>36</v>
      </c>
      <c r="J365" s="18" t="str">
        <f t="shared" si="19"/>
        <v>2019</v>
      </c>
      <c r="K365" s="18"/>
      <c r="L365" s="18" t="s">
        <v>37</v>
      </c>
      <c r="M365" s="19" t="s">
        <v>1352</v>
      </c>
      <c r="O365" s="17" t="s">
        <v>1929</v>
      </c>
      <c r="P365" s="17" t="s">
        <v>1930</v>
      </c>
      <c r="Q365" s="17" t="s">
        <v>1374</v>
      </c>
      <c r="R365" s="17" t="s">
        <v>1375</v>
      </c>
      <c r="S365" s="17" t="s">
        <v>1931</v>
      </c>
      <c r="T365" s="17" t="s">
        <v>43</v>
      </c>
      <c r="U365" s="17">
        <v>17231691</v>
      </c>
      <c r="V365" s="17" t="str">
        <f t="shared" si="20"/>
        <v>09/26/2019</v>
      </c>
      <c r="W365" s="17" t="s">
        <v>44</v>
      </c>
      <c r="X365" s="17" t="s">
        <v>1932</v>
      </c>
    </row>
    <row r="366" spans="1:24" s="17" customFormat="1" x14ac:dyDescent="0.25">
      <c r="A366" s="17" t="s">
        <v>24</v>
      </c>
      <c r="B366" s="17" t="s">
        <v>1367</v>
      </c>
      <c r="C366" s="17" t="s">
        <v>1933</v>
      </c>
      <c r="D366" s="17" t="s">
        <v>35</v>
      </c>
      <c r="E366" s="17" t="s">
        <v>26</v>
      </c>
      <c r="F366" s="17" t="s">
        <v>28</v>
      </c>
      <c r="G366" s="18"/>
      <c r="H366" s="18"/>
      <c r="I366" s="18" t="s">
        <v>36</v>
      </c>
      <c r="J366" s="18" t="str">
        <f t="shared" si="19"/>
        <v>2019</v>
      </c>
      <c r="K366" s="18"/>
      <c r="L366" s="18" t="s">
        <v>37</v>
      </c>
      <c r="M366" s="19" t="s">
        <v>37</v>
      </c>
      <c r="O366" s="17" t="s">
        <v>1934</v>
      </c>
      <c r="P366" s="17" t="s">
        <v>1935</v>
      </c>
      <c r="Q366" s="17" t="s">
        <v>1374</v>
      </c>
      <c r="R366" s="17" t="s">
        <v>1375</v>
      </c>
      <c r="S366" s="17" t="s">
        <v>1936</v>
      </c>
      <c r="T366" s="17" t="s">
        <v>43</v>
      </c>
      <c r="U366" s="17">
        <v>17231690</v>
      </c>
      <c r="V366" s="17" t="str">
        <f t="shared" si="20"/>
        <v>09/26/2019</v>
      </c>
      <c r="W366" s="17" t="s">
        <v>44</v>
      </c>
      <c r="X366" s="17" t="s">
        <v>1937</v>
      </c>
    </row>
    <row r="367" spans="1:24" s="17" customFormat="1" x14ac:dyDescent="0.25">
      <c r="A367" s="17" t="s">
        <v>24</v>
      </c>
      <c r="B367" s="17" t="s">
        <v>1367</v>
      </c>
      <c r="C367" s="17" t="s">
        <v>1938</v>
      </c>
      <c r="D367" s="17" t="s">
        <v>35</v>
      </c>
      <c r="E367" s="17" t="s">
        <v>26</v>
      </c>
      <c r="F367" s="17" t="s">
        <v>28</v>
      </c>
      <c r="G367" s="18"/>
      <c r="H367" s="18"/>
      <c r="I367" s="18" t="s">
        <v>36</v>
      </c>
      <c r="J367" s="18" t="str">
        <f t="shared" si="19"/>
        <v>2019</v>
      </c>
      <c r="K367" s="18"/>
      <c r="L367" s="18" t="s">
        <v>37</v>
      </c>
      <c r="M367" s="19" t="s">
        <v>1352</v>
      </c>
      <c r="O367" s="17" t="s">
        <v>1939</v>
      </c>
      <c r="P367" s="17" t="s">
        <v>1940</v>
      </c>
      <c r="Q367" s="17" t="s">
        <v>1374</v>
      </c>
      <c r="R367" s="17" t="s">
        <v>1375</v>
      </c>
      <c r="S367" s="17" t="s">
        <v>1941</v>
      </c>
      <c r="T367" s="17" t="s">
        <v>43</v>
      </c>
      <c r="U367" s="17">
        <v>17231694</v>
      </c>
      <c r="V367" s="17" t="str">
        <f t="shared" si="20"/>
        <v>09/26/2019</v>
      </c>
      <c r="W367" s="17" t="s">
        <v>44</v>
      </c>
      <c r="X367" s="17" t="s">
        <v>1942</v>
      </c>
    </row>
    <row r="368" spans="1:24" s="17" customFormat="1" x14ac:dyDescent="0.25">
      <c r="A368" s="17" t="s">
        <v>24</v>
      </c>
      <c r="B368" s="17" t="s">
        <v>1367</v>
      </c>
      <c r="C368" s="17" t="s">
        <v>1943</v>
      </c>
      <c r="D368" s="17" t="s">
        <v>35</v>
      </c>
      <c r="E368" s="17" t="s">
        <v>26</v>
      </c>
      <c r="F368" s="17" t="s">
        <v>28</v>
      </c>
      <c r="G368" s="18"/>
      <c r="H368" s="18"/>
      <c r="I368" s="18" t="s">
        <v>36</v>
      </c>
      <c r="J368" s="18" t="str">
        <f t="shared" si="19"/>
        <v>2019</v>
      </c>
      <c r="K368" s="18"/>
      <c r="L368" s="18" t="s">
        <v>37</v>
      </c>
      <c r="M368" s="19" t="s">
        <v>37</v>
      </c>
      <c r="O368" s="17" t="s">
        <v>1944</v>
      </c>
      <c r="P368" s="17" t="s">
        <v>1945</v>
      </c>
      <c r="Q368" s="17" t="s">
        <v>1374</v>
      </c>
      <c r="R368" s="17" t="s">
        <v>1375</v>
      </c>
      <c r="S368" s="17" t="s">
        <v>1946</v>
      </c>
      <c r="T368" s="17" t="s">
        <v>43</v>
      </c>
      <c r="U368" s="17">
        <v>17231693</v>
      </c>
      <c r="V368" s="17" t="str">
        <f t="shared" si="20"/>
        <v>09/26/2019</v>
      </c>
      <c r="W368" s="17" t="s">
        <v>44</v>
      </c>
    </row>
    <row r="369" spans="1:24" s="17" customFormat="1" x14ac:dyDescent="0.25">
      <c r="A369" s="17" t="s">
        <v>24</v>
      </c>
      <c r="B369" s="17" t="s">
        <v>1367</v>
      </c>
      <c r="C369" s="17" t="s">
        <v>1947</v>
      </c>
      <c r="D369" s="17" t="s">
        <v>35</v>
      </c>
      <c r="E369" s="17" t="s">
        <v>26</v>
      </c>
      <c r="F369" s="17" t="s">
        <v>28</v>
      </c>
      <c r="G369" s="18"/>
      <c r="H369" s="18"/>
      <c r="I369" s="18" t="s">
        <v>36</v>
      </c>
      <c r="J369" s="18" t="str">
        <f t="shared" si="19"/>
        <v>2019</v>
      </c>
      <c r="K369" s="18"/>
      <c r="L369" s="18" t="s">
        <v>37</v>
      </c>
      <c r="M369" s="19" t="s">
        <v>1948</v>
      </c>
      <c r="O369" s="17" t="s">
        <v>1949</v>
      </c>
      <c r="P369" s="17" t="s">
        <v>1950</v>
      </c>
      <c r="Q369" s="17" t="s">
        <v>1374</v>
      </c>
      <c r="R369" s="17" t="s">
        <v>1375</v>
      </c>
      <c r="S369" s="17" t="s">
        <v>1951</v>
      </c>
      <c r="T369" s="17" t="s">
        <v>43</v>
      </c>
      <c r="U369" s="17">
        <v>17231695</v>
      </c>
      <c r="V369" s="17" t="str">
        <f t="shared" si="20"/>
        <v>09/26/2019</v>
      </c>
      <c r="W369" s="17" t="s">
        <v>44</v>
      </c>
    </row>
    <row r="370" spans="1:24" s="17" customFormat="1" x14ac:dyDescent="0.25">
      <c r="A370" s="17" t="s">
        <v>24</v>
      </c>
      <c r="B370" s="17" t="s">
        <v>1367</v>
      </c>
      <c r="C370" s="17" t="s">
        <v>1952</v>
      </c>
      <c r="D370" s="17" t="s">
        <v>35</v>
      </c>
      <c r="E370" s="17" t="s">
        <v>26</v>
      </c>
      <c r="F370" s="17" t="s">
        <v>28</v>
      </c>
      <c r="G370" s="18"/>
      <c r="H370" s="18"/>
      <c r="I370" s="18" t="s">
        <v>36</v>
      </c>
      <c r="J370" s="18" t="str">
        <f t="shared" si="19"/>
        <v>2019</v>
      </c>
      <c r="K370" s="18"/>
      <c r="L370" s="18" t="s">
        <v>37</v>
      </c>
      <c r="M370" s="19" t="s">
        <v>312</v>
      </c>
      <c r="O370" s="17" t="s">
        <v>1953</v>
      </c>
      <c r="P370" s="17" t="s">
        <v>1954</v>
      </c>
      <c r="Q370" s="17" t="s">
        <v>1374</v>
      </c>
      <c r="R370" s="17" t="s">
        <v>1375</v>
      </c>
      <c r="S370" s="17" t="s">
        <v>1955</v>
      </c>
      <c r="T370" s="17" t="s">
        <v>43</v>
      </c>
      <c r="U370" s="17">
        <v>17231704</v>
      </c>
      <c r="V370" s="17" t="str">
        <f t="shared" si="20"/>
        <v>09/26/2019</v>
      </c>
      <c r="W370" s="17" t="s">
        <v>44</v>
      </c>
      <c r="X370" s="17" t="s">
        <v>1956</v>
      </c>
    </row>
    <row r="371" spans="1:24" s="17" customFormat="1" x14ac:dyDescent="0.25">
      <c r="A371" s="17" t="s">
        <v>24</v>
      </c>
      <c r="B371" s="17" t="s">
        <v>1367</v>
      </c>
      <c r="C371" s="17" t="s">
        <v>1957</v>
      </c>
      <c r="D371" s="17" t="s">
        <v>35</v>
      </c>
      <c r="E371" s="17" t="s">
        <v>26</v>
      </c>
      <c r="F371" s="17" t="s">
        <v>28</v>
      </c>
      <c r="G371" s="18"/>
      <c r="H371" s="18"/>
      <c r="I371" s="18" t="s">
        <v>36</v>
      </c>
      <c r="J371" s="18" t="str">
        <f t="shared" si="19"/>
        <v>2019</v>
      </c>
      <c r="K371" s="18"/>
      <c r="L371" s="18" t="s">
        <v>37</v>
      </c>
      <c r="M371" s="19" t="s">
        <v>37</v>
      </c>
      <c r="O371" s="17" t="s">
        <v>1958</v>
      </c>
      <c r="P371" s="17" t="s">
        <v>1959</v>
      </c>
      <c r="Q371" s="17" t="s">
        <v>1374</v>
      </c>
      <c r="R371" s="17" t="s">
        <v>1375</v>
      </c>
      <c r="S371" s="17" t="s">
        <v>1960</v>
      </c>
      <c r="T371" s="17" t="s">
        <v>43</v>
      </c>
      <c r="U371" s="17">
        <v>17231696</v>
      </c>
      <c r="V371" s="17" t="str">
        <f t="shared" si="20"/>
        <v>09/26/2019</v>
      </c>
      <c r="W371" s="17" t="s">
        <v>44</v>
      </c>
      <c r="X371" s="17" t="s">
        <v>1961</v>
      </c>
    </row>
    <row r="372" spans="1:24" s="17" customFormat="1" x14ac:dyDescent="0.25">
      <c r="A372" s="17" t="s">
        <v>24</v>
      </c>
      <c r="B372" s="17" t="s">
        <v>1367</v>
      </c>
      <c r="C372" s="17" t="s">
        <v>1962</v>
      </c>
      <c r="D372" s="17" t="s">
        <v>107</v>
      </c>
      <c r="E372" s="17" t="s">
        <v>26</v>
      </c>
      <c r="F372" s="17" t="s">
        <v>26</v>
      </c>
      <c r="G372" s="18" t="s">
        <v>27</v>
      </c>
      <c r="H372" s="18" t="s">
        <v>28</v>
      </c>
      <c r="I372" s="18" t="s">
        <v>1963</v>
      </c>
      <c r="J372" s="18" t="str">
        <f t="shared" si="19"/>
        <v>2023</v>
      </c>
      <c r="K372" s="18"/>
      <c r="L372" s="18"/>
      <c r="M372" s="19"/>
      <c r="O372" s="17" t="s">
        <v>1964</v>
      </c>
      <c r="P372" s="17" t="s">
        <v>1965</v>
      </c>
      <c r="Q372" s="17" t="s">
        <v>1374</v>
      </c>
      <c r="R372" s="17" t="s">
        <v>1375</v>
      </c>
      <c r="S372" s="17" t="s">
        <v>1966</v>
      </c>
      <c r="T372" s="17" t="s">
        <v>43</v>
      </c>
      <c r="U372" s="17">
        <v>17231870</v>
      </c>
      <c r="V372" s="17" t="str">
        <f t="shared" si="20"/>
        <v>01/11/2023</v>
      </c>
      <c r="W372" s="17" t="s">
        <v>44</v>
      </c>
    </row>
    <row r="373" spans="1:24" s="17" customFormat="1" x14ac:dyDescent="0.25">
      <c r="A373" s="17" t="s">
        <v>24</v>
      </c>
      <c r="B373" s="17" t="s">
        <v>1367</v>
      </c>
      <c r="C373" s="17" t="s">
        <v>1967</v>
      </c>
      <c r="D373" s="17" t="s">
        <v>35</v>
      </c>
      <c r="E373" s="17" t="s">
        <v>26</v>
      </c>
      <c r="F373" s="17" t="s">
        <v>28</v>
      </c>
      <c r="G373" s="18"/>
      <c r="H373" s="18"/>
      <c r="I373" s="18" t="s">
        <v>36</v>
      </c>
      <c r="J373" s="18" t="str">
        <f t="shared" si="19"/>
        <v>2019</v>
      </c>
      <c r="K373" s="18"/>
      <c r="L373" s="18" t="s">
        <v>37</v>
      </c>
      <c r="M373" s="19" t="s">
        <v>37</v>
      </c>
      <c r="O373" s="17" t="s">
        <v>1968</v>
      </c>
      <c r="P373" s="17" t="s">
        <v>1969</v>
      </c>
      <c r="Q373" s="17" t="s">
        <v>1374</v>
      </c>
      <c r="R373" s="17" t="s">
        <v>1375</v>
      </c>
      <c r="S373" s="17" t="s">
        <v>1970</v>
      </c>
      <c r="T373" s="17" t="s">
        <v>43</v>
      </c>
      <c r="U373" s="17">
        <v>17231698</v>
      </c>
      <c r="V373" s="17" t="str">
        <f t="shared" si="20"/>
        <v>09/26/2019</v>
      </c>
      <c r="W373" s="17" t="s">
        <v>44</v>
      </c>
      <c r="X373" s="17" t="s">
        <v>1971</v>
      </c>
    </row>
    <row r="374" spans="1:24" s="17" customFormat="1" x14ac:dyDescent="0.25">
      <c r="A374" s="17" t="s">
        <v>24</v>
      </c>
      <c r="B374" s="17" t="s">
        <v>1367</v>
      </c>
      <c r="C374" s="17" t="s">
        <v>1972</v>
      </c>
      <c r="D374" s="17" t="s">
        <v>35</v>
      </c>
      <c r="E374" s="17" t="s">
        <v>26</v>
      </c>
      <c r="F374" s="17" t="s">
        <v>28</v>
      </c>
      <c r="G374" s="18"/>
      <c r="H374" s="18"/>
      <c r="I374" s="18" t="s">
        <v>36</v>
      </c>
      <c r="J374" s="18" t="str">
        <f t="shared" si="19"/>
        <v>2019</v>
      </c>
      <c r="K374" s="18"/>
      <c r="L374" s="18" t="s">
        <v>37</v>
      </c>
      <c r="M374" s="19" t="s">
        <v>37</v>
      </c>
      <c r="O374" s="17" t="s">
        <v>1973</v>
      </c>
      <c r="P374" s="17" t="s">
        <v>1974</v>
      </c>
      <c r="Q374" s="17" t="s">
        <v>1374</v>
      </c>
      <c r="R374" s="17" t="s">
        <v>1375</v>
      </c>
      <c r="S374" s="17" t="s">
        <v>1975</v>
      </c>
      <c r="T374" s="17" t="s">
        <v>43</v>
      </c>
      <c r="U374" s="17">
        <v>17231699</v>
      </c>
      <c r="V374" s="17" t="str">
        <f t="shared" si="20"/>
        <v>09/26/2019</v>
      </c>
      <c r="W374" s="17" t="s">
        <v>44</v>
      </c>
      <c r="X374" s="17" t="s">
        <v>1976</v>
      </c>
    </row>
    <row r="375" spans="1:24" s="17" customFormat="1" x14ac:dyDescent="0.25">
      <c r="A375" s="17" t="s">
        <v>24</v>
      </c>
      <c r="B375" s="17" t="s">
        <v>1367</v>
      </c>
      <c r="C375" s="17" t="s">
        <v>1977</v>
      </c>
      <c r="D375" s="17" t="s">
        <v>35</v>
      </c>
      <c r="E375" s="17" t="s">
        <v>26</v>
      </c>
      <c r="F375" s="17" t="s">
        <v>28</v>
      </c>
      <c r="G375" s="18"/>
      <c r="H375" s="18"/>
      <c r="I375" s="18" t="s">
        <v>36</v>
      </c>
      <c r="J375" s="18" t="str">
        <f t="shared" si="19"/>
        <v>2019</v>
      </c>
      <c r="K375" s="18"/>
      <c r="L375" s="18" t="s">
        <v>37</v>
      </c>
      <c r="M375" s="19" t="s">
        <v>37</v>
      </c>
      <c r="O375" s="17" t="s">
        <v>1978</v>
      </c>
      <c r="P375" s="17" t="s">
        <v>1979</v>
      </c>
      <c r="Q375" s="17" t="s">
        <v>1374</v>
      </c>
      <c r="R375" s="17" t="s">
        <v>1375</v>
      </c>
      <c r="S375" s="17" t="s">
        <v>1980</v>
      </c>
      <c r="T375" s="17" t="s">
        <v>43</v>
      </c>
      <c r="U375" s="17">
        <v>17231701</v>
      </c>
      <c r="V375" s="17" t="str">
        <f t="shared" si="20"/>
        <v>09/26/2019</v>
      </c>
      <c r="W375" s="17" t="s">
        <v>44</v>
      </c>
      <c r="X375" s="17" t="s">
        <v>1981</v>
      </c>
    </row>
    <row r="376" spans="1:24" s="17" customFormat="1" x14ac:dyDescent="0.25">
      <c r="A376" s="17" t="s">
        <v>24</v>
      </c>
      <c r="B376" s="17" t="s">
        <v>1367</v>
      </c>
      <c r="C376" s="17" t="s">
        <v>1636</v>
      </c>
      <c r="D376" s="17" t="s">
        <v>35</v>
      </c>
      <c r="E376" s="17" t="s">
        <v>26</v>
      </c>
      <c r="F376" s="17" t="s">
        <v>28</v>
      </c>
      <c r="G376" s="18"/>
      <c r="H376" s="18"/>
      <c r="I376" s="18" t="s">
        <v>36</v>
      </c>
      <c r="J376" s="18" t="str">
        <f t="shared" si="19"/>
        <v>2019</v>
      </c>
      <c r="K376" s="18"/>
      <c r="L376" s="18" t="s">
        <v>37</v>
      </c>
      <c r="M376" s="19" t="s">
        <v>37</v>
      </c>
      <c r="O376" s="17" t="s">
        <v>1982</v>
      </c>
      <c r="P376" s="17" t="s">
        <v>1983</v>
      </c>
      <c r="Q376" s="17" t="s">
        <v>1374</v>
      </c>
      <c r="R376" s="17" t="s">
        <v>1375</v>
      </c>
      <c r="S376" s="17" t="s">
        <v>1984</v>
      </c>
      <c r="T376" s="17" t="s">
        <v>43</v>
      </c>
      <c r="U376" s="17">
        <v>17231702</v>
      </c>
      <c r="V376" s="17" t="str">
        <f t="shared" si="20"/>
        <v>09/26/2019</v>
      </c>
      <c r="W376" s="17" t="s">
        <v>44</v>
      </c>
      <c r="X376" s="17" t="s">
        <v>1985</v>
      </c>
    </row>
    <row r="377" spans="1:24" s="17" customFormat="1" x14ac:dyDescent="0.25">
      <c r="A377" s="17" t="s">
        <v>24</v>
      </c>
      <c r="B377" s="17" t="s">
        <v>1367</v>
      </c>
      <c r="C377" s="17" t="s">
        <v>1986</v>
      </c>
      <c r="D377" s="17" t="s">
        <v>35</v>
      </c>
      <c r="E377" s="17" t="s">
        <v>26</v>
      </c>
      <c r="F377" s="17" t="s">
        <v>28</v>
      </c>
      <c r="G377" s="18"/>
      <c r="H377" s="18"/>
      <c r="I377" s="18" t="s">
        <v>36</v>
      </c>
      <c r="J377" s="18" t="str">
        <f t="shared" si="19"/>
        <v>2019</v>
      </c>
      <c r="K377" s="18"/>
      <c r="L377" s="18" t="s">
        <v>37</v>
      </c>
      <c r="M377" s="19" t="s">
        <v>37</v>
      </c>
      <c r="O377" s="17" t="s">
        <v>1987</v>
      </c>
      <c r="P377" s="17" t="s">
        <v>1988</v>
      </c>
      <c r="Q377" s="17" t="s">
        <v>1374</v>
      </c>
      <c r="R377" s="17" t="s">
        <v>1375</v>
      </c>
      <c r="S377" s="17" t="s">
        <v>1989</v>
      </c>
      <c r="T377" s="17" t="s">
        <v>43</v>
      </c>
      <c r="U377" s="17">
        <v>17231703</v>
      </c>
      <c r="V377" s="17" t="str">
        <f t="shared" si="20"/>
        <v>09/26/2019</v>
      </c>
      <c r="W377" s="17" t="s">
        <v>44</v>
      </c>
      <c r="X377" s="17" t="s">
        <v>1990</v>
      </c>
    </row>
    <row r="378" spans="1:24" s="17" customFormat="1" x14ac:dyDescent="0.25">
      <c r="A378" s="17" t="s">
        <v>24</v>
      </c>
      <c r="B378" s="17" t="s">
        <v>1367</v>
      </c>
      <c r="C378" s="17" t="s">
        <v>1991</v>
      </c>
      <c r="D378" s="17" t="s">
        <v>35</v>
      </c>
      <c r="E378" s="17" t="s">
        <v>26</v>
      </c>
      <c r="F378" s="17" t="s">
        <v>28</v>
      </c>
      <c r="G378" s="18"/>
      <c r="H378" s="18"/>
      <c r="I378" s="18" t="s">
        <v>1992</v>
      </c>
      <c r="J378" s="18" t="str">
        <f t="shared" si="19"/>
        <v>2019</v>
      </c>
      <c r="K378" s="18" t="s">
        <v>1914</v>
      </c>
      <c r="L378" s="18" t="s">
        <v>37</v>
      </c>
      <c r="M378" s="19" t="s">
        <v>1993</v>
      </c>
      <c r="O378" s="17" t="s">
        <v>1994</v>
      </c>
      <c r="P378" s="17" t="s">
        <v>1995</v>
      </c>
      <c r="Q378" s="17" t="s">
        <v>1374</v>
      </c>
      <c r="R378" s="17" t="s">
        <v>1375</v>
      </c>
      <c r="S378" s="17" t="s">
        <v>1996</v>
      </c>
      <c r="T378" s="17" t="s">
        <v>43</v>
      </c>
      <c r="U378" s="17">
        <v>17231761</v>
      </c>
      <c r="V378" s="17" t="str">
        <f t="shared" si="20"/>
        <v>10/03/2019</v>
      </c>
      <c r="W378" s="17" t="s">
        <v>44</v>
      </c>
      <c r="X378" s="17" t="s">
        <v>1997</v>
      </c>
    </row>
    <row r="379" spans="1:24" s="17" customFormat="1" x14ac:dyDescent="0.25">
      <c r="A379" s="17" t="s">
        <v>24</v>
      </c>
      <c r="B379" s="17" t="s">
        <v>1367</v>
      </c>
      <c r="C379" s="17" t="s">
        <v>1998</v>
      </c>
      <c r="D379" s="17" t="s">
        <v>35</v>
      </c>
      <c r="E379" s="17" t="s">
        <v>26</v>
      </c>
      <c r="F379" s="17" t="s">
        <v>28</v>
      </c>
      <c r="G379" s="18"/>
      <c r="H379" s="18"/>
      <c r="I379" s="18" t="s">
        <v>36</v>
      </c>
      <c r="J379" s="18" t="str">
        <f t="shared" si="19"/>
        <v>2019</v>
      </c>
      <c r="K379" s="18"/>
      <c r="L379" s="18" t="s">
        <v>37</v>
      </c>
      <c r="M379" s="19" t="s">
        <v>1999</v>
      </c>
      <c r="O379" s="17" t="s">
        <v>2000</v>
      </c>
      <c r="P379" s="17" t="s">
        <v>2001</v>
      </c>
      <c r="Q379" s="17" t="s">
        <v>1374</v>
      </c>
      <c r="R379" s="17" t="s">
        <v>1375</v>
      </c>
      <c r="S379" s="17" t="s">
        <v>2002</v>
      </c>
      <c r="T379" s="17" t="s">
        <v>43</v>
      </c>
      <c r="U379" s="17">
        <v>17231706</v>
      </c>
      <c r="V379" s="17" t="str">
        <f t="shared" si="20"/>
        <v>09/26/2019</v>
      </c>
      <c r="W379" s="17" t="s">
        <v>44</v>
      </c>
    </row>
    <row r="380" spans="1:24" s="17" customFormat="1" x14ac:dyDescent="0.25">
      <c r="A380" s="17" t="s">
        <v>24</v>
      </c>
      <c r="B380" s="17" t="s">
        <v>1367</v>
      </c>
      <c r="C380" s="17" t="s">
        <v>2003</v>
      </c>
      <c r="D380" s="17" t="s">
        <v>35</v>
      </c>
      <c r="E380" s="17" t="s">
        <v>26</v>
      </c>
      <c r="F380" s="17" t="s">
        <v>28</v>
      </c>
      <c r="G380" s="18"/>
      <c r="H380" s="18"/>
      <c r="I380" s="18" t="s">
        <v>36</v>
      </c>
      <c r="J380" s="18" t="str">
        <f t="shared" si="19"/>
        <v>2019</v>
      </c>
      <c r="K380" s="18"/>
      <c r="L380" s="18" t="s">
        <v>37</v>
      </c>
      <c r="M380" s="19" t="s">
        <v>1352</v>
      </c>
      <c r="O380" s="17" t="s">
        <v>2004</v>
      </c>
      <c r="P380" s="17" t="s">
        <v>2005</v>
      </c>
      <c r="Q380" s="17" t="s">
        <v>1374</v>
      </c>
      <c r="R380" s="17" t="s">
        <v>1375</v>
      </c>
      <c r="S380" s="17" t="s">
        <v>2006</v>
      </c>
      <c r="T380" s="17" t="s">
        <v>43</v>
      </c>
      <c r="U380" s="17">
        <v>17231707</v>
      </c>
      <c r="V380" s="17" t="str">
        <f t="shared" si="20"/>
        <v>09/26/2019</v>
      </c>
      <c r="W380" s="17" t="s">
        <v>44</v>
      </c>
      <c r="X380" s="17" t="s">
        <v>2007</v>
      </c>
    </row>
    <row r="381" spans="1:24" s="17" customFormat="1" x14ac:dyDescent="0.25">
      <c r="A381" s="17" t="s">
        <v>24</v>
      </c>
      <c r="B381" s="17" t="s">
        <v>1367</v>
      </c>
      <c r="C381" s="17" t="s">
        <v>1240</v>
      </c>
      <c r="D381" s="17" t="s">
        <v>35</v>
      </c>
      <c r="E381" s="17" t="s">
        <v>26</v>
      </c>
      <c r="F381" s="17" t="s">
        <v>28</v>
      </c>
      <c r="G381" s="18"/>
      <c r="H381" s="18"/>
      <c r="I381" s="18" t="s">
        <v>36</v>
      </c>
      <c r="J381" s="18" t="str">
        <f t="shared" si="19"/>
        <v>2019</v>
      </c>
      <c r="K381" s="18"/>
      <c r="L381" s="18" t="s">
        <v>37</v>
      </c>
      <c r="M381" s="19" t="s">
        <v>1256</v>
      </c>
      <c r="O381" s="17" t="s">
        <v>2008</v>
      </c>
      <c r="P381" s="17" t="s">
        <v>2009</v>
      </c>
      <c r="Q381" s="17" t="s">
        <v>1374</v>
      </c>
      <c r="R381" s="17" t="s">
        <v>1375</v>
      </c>
      <c r="S381" s="17" t="s">
        <v>2010</v>
      </c>
      <c r="T381" s="17" t="s">
        <v>43</v>
      </c>
      <c r="U381" s="17">
        <v>17231710</v>
      </c>
      <c r="V381" s="17" t="str">
        <f t="shared" si="20"/>
        <v>09/26/2019</v>
      </c>
      <c r="W381" s="17" t="s">
        <v>44</v>
      </c>
      <c r="X381" s="17" t="s">
        <v>2011</v>
      </c>
    </row>
    <row r="382" spans="1:24" s="17" customFormat="1" x14ac:dyDescent="0.25">
      <c r="A382" s="17" t="s">
        <v>24</v>
      </c>
      <c r="B382" s="17" t="s">
        <v>1367</v>
      </c>
      <c r="C382" s="17" t="s">
        <v>2012</v>
      </c>
      <c r="D382" s="17" t="s">
        <v>35</v>
      </c>
      <c r="E382" s="17" t="s">
        <v>26</v>
      </c>
      <c r="F382" s="17" t="s">
        <v>28</v>
      </c>
      <c r="G382" s="18"/>
      <c r="H382" s="18"/>
      <c r="I382" s="18" t="s">
        <v>36</v>
      </c>
      <c r="J382" s="18" t="str">
        <f t="shared" si="19"/>
        <v>2019</v>
      </c>
      <c r="K382" s="18"/>
      <c r="L382" s="18" t="s">
        <v>37</v>
      </c>
      <c r="M382" s="19" t="s">
        <v>37</v>
      </c>
      <c r="O382" s="17" t="s">
        <v>2013</v>
      </c>
      <c r="P382" s="17" t="s">
        <v>2014</v>
      </c>
      <c r="Q382" s="17" t="s">
        <v>1374</v>
      </c>
      <c r="R382" s="17" t="s">
        <v>1375</v>
      </c>
      <c r="S382" s="17" t="s">
        <v>2015</v>
      </c>
      <c r="T382" s="17" t="s">
        <v>43</v>
      </c>
      <c r="U382" s="17">
        <v>17231708</v>
      </c>
      <c r="V382" s="17" t="str">
        <f t="shared" si="20"/>
        <v>09/26/2019</v>
      </c>
      <c r="W382" s="17" t="s">
        <v>44</v>
      </c>
    </row>
    <row r="383" spans="1:24" s="17" customFormat="1" x14ac:dyDescent="0.25">
      <c r="A383" s="17" t="s">
        <v>24</v>
      </c>
      <c r="B383" s="17" t="s">
        <v>1367</v>
      </c>
      <c r="C383" s="17" t="s">
        <v>2016</v>
      </c>
      <c r="D383" s="17" t="s">
        <v>35</v>
      </c>
      <c r="E383" s="17" t="s">
        <v>26</v>
      </c>
      <c r="F383" s="17" t="s">
        <v>28</v>
      </c>
      <c r="G383" s="18"/>
      <c r="H383" s="18"/>
      <c r="I383" s="18" t="s">
        <v>36</v>
      </c>
      <c r="J383" s="18" t="str">
        <f t="shared" si="19"/>
        <v>2019</v>
      </c>
      <c r="K383" s="18"/>
      <c r="L383" s="18" t="s">
        <v>37</v>
      </c>
      <c r="M383" s="19" t="s">
        <v>1352</v>
      </c>
      <c r="O383" s="17" t="s">
        <v>2017</v>
      </c>
      <c r="P383" s="17" t="s">
        <v>2018</v>
      </c>
      <c r="Q383" s="17" t="s">
        <v>1374</v>
      </c>
      <c r="R383" s="17" t="s">
        <v>1375</v>
      </c>
      <c r="S383" s="17" t="s">
        <v>2019</v>
      </c>
      <c r="T383" s="17" t="s">
        <v>43</v>
      </c>
      <c r="U383" s="17">
        <v>17231711</v>
      </c>
      <c r="V383" s="17" t="str">
        <f t="shared" si="20"/>
        <v>09/26/2019</v>
      </c>
      <c r="W383" s="17" t="s">
        <v>44</v>
      </c>
      <c r="X383" s="17" t="s">
        <v>2020</v>
      </c>
    </row>
    <row r="384" spans="1:24" s="17" customFormat="1" x14ac:dyDescent="0.25">
      <c r="A384" s="17" t="s">
        <v>24</v>
      </c>
      <c r="B384" s="17" t="s">
        <v>1367</v>
      </c>
      <c r="C384" s="17" t="s">
        <v>1724</v>
      </c>
      <c r="D384" s="17" t="s">
        <v>35</v>
      </c>
      <c r="E384" s="17" t="s">
        <v>26</v>
      </c>
      <c r="F384" s="17" t="s">
        <v>28</v>
      </c>
      <c r="G384" s="18"/>
      <c r="H384" s="18"/>
      <c r="I384" s="18" t="s">
        <v>36</v>
      </c>
      <c r="J384" s="18" t="str">
        <f t="shared" si="19"/>
        <v>2019</v>
      </c>
      <c r="K384" s="18"/>
      <c r="L384" s="18" t="s">
        <v>37</v>
      </c>
      <c r="M384" s="19" t="s">
        <v>1352</v>
      </c>
      <c r="O384" s="17" t="s">
        <v>2021</v>
      </c>
      <c r="P384" s="17" t="s">
        <v>2022</v>
      </c>
      <c r="Q384" s="17" t="s">
        <v>1374</v>
      </c>
      <c r="R384" s="17" t="s">
        <v>1375</v>
      </c>
      <c r="S384" s="17" t="s">
        <v>2023</v>
      </c>
      <c r="T384" s="17" t="s">
        <v>43</v>
      </c>
      <c r="U384" s="17">
        <v>17231712</v>
      </c>
      <c r="V384" s="17" t="str">
        <f t="shared" si="20"/>
        <v>09/26/2019</v>
      </c>
      <c r="W384" s="17" t="s">
        <v>44</v>
      </c>
    </row>
    <row r="385" spans="1:24" s="17" customFormat="1" x14ac:dyDescent="0.25">
      <c r="A385" s="17" t="s">
        <v>24</v>
      </c>
      <c r="B385" s="17" t="s">
        <v>1367</v>
      </c>
      <c r="C385" s="17" t="s">
        <v>2024</v>
      </c>
      <c r="D385" s="17" t="s">
        <v>35</v>
      </c>
      <c r="E385" s="17" t="s">
        <v>26</v>
      </c>
      <c r="F385" s="17" t="s">
        <v>28</v>
      </c>
      <c r="G385" s="18"/>
      <c r="H385" s="18"/>
      <c r="I385" s="18" t="s">
        <v>36</v>
      </c>
      <c r="J385" s="18" t="str">
        <f t="shared" si="19"/>
        <v>2019</v>
      </c>
      <c r="K385" s="18" t="s">
        <v>1914</v>
      </c>
      <c r="L385" s="18" t="s">
        <v>37</v>
      </c>
      <c r="M385" s="19" t="s">
        <v>2025</v>
      </c>
      <c r="O385" s="17" t="s">
        <v>2026</v>
      </c>
      <c r="P385" s="17" t="s">
        <v>2027</v>
      </c>
      <c r="Q385" s="17" t="s">
        <v>1374</v>
      </c>
      <c r="R385" s="17" t="s">
        <v>1375</v>
      </c>
      <c r="S385" s="17" t="s">
        <v>2028</v>
      </c>
      <c r="T385" s="17" t="s">
        <v>43</v>
      </c>
      <c r="U385" s="17">
        <v>17231716</v>
      </c>
      <c r="V385" s="17" t="str">
        <f t="shared" si="20"/>
        <v>09/26/2019</v>
      </c>
      <c r="W385" s="17" t="s">
        <v>44</v>
      </c>
    </row>
    <row r="386" spans="1:24" s="17" customFormat="1" x14ac:dyDescent="0.25">
      <c r="A386" s="17" t="s">
        <v>24</v>
      </c>
      <c r="B386" s="17" t="s">
        <v>1367</v>
      </c>
      <c r="C386" s="17" t="s">
        <v>2029</v>
      </c>
      <c r="D386" s="17" t="s">
        <v>35</v>
      </c>
      <c r="E386" s="17" t="s">
        <v>26</v>
      </c>
      <c r="F386" s="17" t="s">
        <v>28</v>
      </c>
      <c r="G386" s="18"/>
      <c r="H386" s="18"/>
      <c r="I386" s="18" t="s">
        <v>36</v>
      </c>
      <c r="J386" s="18" t="str">
        <f t="shared" si="19"/>
        <v>2019</v>
      </c>
      <c r="K386" s="18"/>
      <c r="L386" s="18" t="s">
        <v>37</v>
      </c>
      <c r="M386" s="19" t="s">
        <v>37</v>
      </c>
      <c r="O386" s="17" t="s">
        <v>2030</v>
      </c>
      <c r="P386" s="17" t="s">
        <v>2031</v>
      </c>
      <c r="Q386" s="17" t="s">
        <v>1374</v>
      </c>
      <c r="R386" s="17" t="s">
        <v>1375</v>
      </c>
      <c r="S386" s="17" t="s">
        <v>2032</v>
      </c>
      <c r="T386" s="17" t="s">
        <v>43</v>
      </c>
      <c r="U386" s="17">
        <v>17231714</v>
      </c>
      <c r="V386" s="17" t="str">
        <f t="shared" si="20"/>
        <v>09/26/2019</v>
      </c>
      <c r="W386" s="17" t="s">
        <v>44</v>
      </c>
      <c r="X386" s="17" t="s">
        <v>2033</v>
      </c>
    </row>
    <row r="387" spans="1:24" s="17" customFormat="1" x14ac:dyDescent="0.25">
      <c r="A387" s="17" t="s">
        <v>24</v>
      </c>
      <c r="B387" s="17" t="s">
        <v>1367</v>
      </c>
      <c r="C387" s="17" t="s">
        <v>2034</v>
      </c>
      <c r="D387" s="17" t="s">
        <v>107</v>
      </c>
      <c r="E387" s="17" t="s">
        <v>26</v>
      </c>
      <c r="F387" s="17" t="s">
        <v>26</v>
      </c>
      <c r="G387" s="18" t="s">
        <v>27</v>
      </c>
      <c r="H387" s="18" t="s">
        <v>28</v>
      </c>
      <c r="I387" s="18" t="s">
        <v>2035</v>
      </c>
      <c r="J387" s="18" t="str">
        <f t="shared" si="19"/>
        <v>2021</v>
      </c>
      <c r="K387" s="18"/>
      <c r="L387" s="18"/>
      <c r="M387" s="19"/>
      <c r="O387" s="17" t="s">
        <v>2036</v>
      </c>
      <c r="P387" s="17" t="s">
        <v>2037</v>
      </c>
      <c r="Q387" s="17" t="s">
        <v>1374</v>
      </c>
      <c r="R387" s="17" t="s">
        <v>1375</v>
      </c>
      <c r="S387" s="17" t="s">
        <v>2038</v>
      </c>
      <c r="T387" s="17" t="s">
        <v>43</v>
      </c>
      <c r="U387" s="17">
        <v>17231802</v>
      </c>
      <c r="V387" s="17" t="str">
        <f t="shared" si="20"/>
        <v>01/26/2021</v>
      </c>
      <c r="W387" s="17" t="s">
        <v>44</v>
      </c>
      <c r="X387" s="17" t="s">
        <v>2039</v>
      </c>
    </row>
    <row r="388" spans="1:24" s="17" customFormat="1" x14ac:dyDescent="0.25">
      <c r="A388" s="17" t="s">
        <v>24</v>
      </c>
      <c r="B388" s="17" t="s">
        <v>1367</v>
      </c>
      <c r="C388" s="17" t="s">
        <v>2040</v>
      </c>
      <c r="D388" s="17" t="s">
        <v>35</v>
      </c>
      <c r="E388" s="17" t="s">
        <v>26</v>
      </c>
      <c r="F388" s="17" t="s">
        <v>28</v>
      </c>
      <c r="G388" s="18"/>
      <c r="H388" s="18"/>
      <c r="I388" s="18" t="s">
        <v>36</v>
      </c>
      <c r="J388" s="18" t="str">
        <f t="shared" si="19"/>
        <v>2019</v>
      </c>
      <c r="K388" s="18"/>
      <c r="L388" s="18" t="s">
        <v>37</v>
      </c>
      <c r="M388" s="19" t="s">
        <v>37</v>
      </c>
      <c r="O388" s="17" t="s">
        <v>2041</v>
      </c>
      <c r="P388" s="17" t="s">
        <v>2042</v>
      </c>
      <c r="Q388" s="17" t="s">
        <v>1374</v>
      </c>
      <c r="R388" s="17" t="s">
        <v>1375</v>
      </c>
      <c r="S388" s="17" t="s">
        <v>2043</v>
      </c>
      <c r="T388" s="17" t="s">
        <v>43</v>
      </c>
      <c r="U388" s="17">
        <v>17231715</v>
      </c>
      <c r="V388" s="17" t="str">
        <f t="shared" si="20"/>
        <v>09/26/2019</v>
      </c>
      <c r="W388" s="17" t="s">
        <v>44</v>
      </c>
      <c r="X388" s="17" t="s">
        <v>2044</v>
      </c>
    </row>
    <row r="389" spans="1:24" s="17" customFormat="1" hidden="1" x14ac:dyDescent="0.25">
      <c r="A389" s="17" t="s">
        <v>24</v>
      </c>
      <c r="B389" t="s">
        <v>1367</v>
      </c>
      <c r="C389" t="s">
        <v>2045</v>
      </c>
      <c r="D389" t="s">
        <v>35</v>
      </c>
      <c r="E389" t="s">
        <v>28</v>
      </c>
      <c r="F389" t="s">
        <v>28</v>
      </c>
      <c r="G389"/>
      <c r="H389"/>
      <c r="I389" s="3" t="s">
        <v>36</v>
      </c>
      <c r="J389" s="3" t="str">
        <f t="shared" ref="J389:J443" si="21">RIGHT(I389,4)</f>
        <v>2019</v>
      </c>
      <c r="K389" s="3"/>
      <c r="L389" s="3" t="s">
        <v>37</v>
      </c>
      <c r="M389" s="1" t="s">
        <v>312</v>
      </c>
      <c r="N389" s="3"/>
      <c r="O389" s="2" t="s">
        <v>2046</v>
      </c>
      <c r="P389" t="s">
        <v>2047</v>
      </c>
      <c r="Q389" t="s">
        <v>1374</v>
      </c>
      <c r="R389" t="s">
        <v>1375</v>
      </c>
      <c r="S389" t="s">
        <v>2048</v>
      </c>
      <c r="T389" t="s">
        <v>43</v>
      </c>
      <c r="U389">
        <v>17231721</v>
      </c>
      <c r="V389" t="str">
        <f t="shared" si="20"/>
        <v>09/26/2019</v>
      </c>
      <c r="W389" t="s">
        <v>44</v>
      </c>
      <c r="X389"/>
    </row>
    <row r="390" spans="1:24" hidden="1" x14ac:dyDescent="0.25">
      <c r="A390" t="s">
        <v>24</v>
      </c>
      <c r="B390" s="7" t="s">
        <v>1367</v>
      </c>
      <c r="C390" s="7" t="s">
        <v>2049</v>
      </c>
      <c r="D390" s="7" t="s">
        <v>35</v>
      </c>
      <c r="E390" s="7" t="s">
        <v>28</v>
      </c>
      <c r="F390" s="7" t="s">
        <v>28</v>
      </c>
      <c r="G390" s="7"/>
      <c r="H390" s="7"/>
      <c r="I390" s="13" t="s">
        <v>36</v>
      </c>
      <c r="J390" s="13" t="str">
        <f t="shared" si="21"/>
        <v>2019</v>
      </c>
      <c r="K390" s="13"/>
      <c r="L390" s="13"/>
      <c r="M390" s="13" t="s">
        <v>37</v>
      </c>
      <c r="N390" s="13"/>
      <c r="O390" s="14" t="s">
        <v>2050</v>
      </c>
      <c r="P390" s="7" t="s">
        <v>2051</v>
      </c>
      <c r="Q390" s="7" t="s">
        <v>1374</v>
      </c>
      <c r="R390" s="7" t="s">
        <v>1375</v>
      </c>
      <c r="S390" s="7" t="s">
        <v>2052</v>
      </c>
      <c r="T390" s="7" t="s">
        <v>43</v>
      </c>
      <c r="U390" s="7">
        <v>17231717</v>
      </c>
      <c r="V390" s="7" t="str">
        <f t="shared" si="20"/>
        <v>09/26/2019</v>
      </c>
      <c r="W390" s="7" t="s">
        <v>44</v>
      </c>
      <c r="X390" s="7" t="s">
        <v>2053</v>
      </c>
    </row>
    <row r="391" spans="1:24" hidden="1" x14ac:dyDescent="0.25">
      <c r="A391" t="s">
        <v>24</v>
      </c>
      <c r="B391" s="7" t="s">
        <v>1367</v>
      </c>
      <c r="C391" s="7" t="s">
        <v>2054</v>
      </c>
      <c r="D391" s="7" t="s">
        <v>35</v>
      </c>
      <c r="E391" s="7" t="s">
        <v>28</v>
      </c>
      <c r="F391" s="7" t="s">
        <v>28</v>
      </c>
      <c r="G391" s="7"/>
      <c r="H391" s="7"/>
      <c r="I391" s="13" t="s">
        <v>36</v>
      </c>
      <c r="J391" s="13" t="str">
        <f t="shared" si="21"/>
        <v>2019</v>
      </c>
      <c r="K391" s="13"/>
      <c r="L391" s="13"/>
      <c r="M391" s="13" t="s">
        <v>37</v>
      </c>
      <c r="N391" s="13"/>
      <c r="O391" s="14" t="s">
        <v>2055</v>
      </c>
      <c r="P391" s="7" t="s">
        <v>2056</v>
      </c>
      <c r="Q391" s="7" t="s">
        <v>1374</v>
      </c>
      <c r="R391" s="7" t="s">
        <v>1375</v>
      </c>
      <c r="S391" s="7" t="s">
        <v>2057</v>
      </c>
      <c r="T391" s="7" t="s">
        <v>43</v>
      </c>
      <c r="U391" s="7">
        <v>17231718</v>
      </c>
      <c r="V391" s="7" t="str">
        <f t="shared" si="20"/>
        <v>09/26/2019</v>
      </c>
      <c r="W391" s="7" t="s">
        <v>44</v>
      </c>
      <c r="X391" s="7" t="s">
        <v>2058</v>
      </c>
    </row>
    <row r="392" spans="1:24" hidden="1" x14ac:dyDescent="0.25">
      <c r="A392" t="s">
        <v>24</v>
      </c>
      <c r="B392" s="7" t="s">
        <v>1367</v>
      </c>
      <c r="C392" s="7" t="s">
        <v>2059</v>
      </c>
      <c r="D392" s="7" t="s">
        <v>35</v>
      </c>
      <c r="E392" s="7" t="s">
        <v>28</v>
      </c>
      <c r="F392" s="7" t="s">
        <v>28</v>
      </c>
      <c r="G392" s="7"/>
      <c r="H392" s="7"/>
      <c r="I392" s="13" t="s">
        <v>36</v>
      </c>
      <c r="J392" s="13" t="str">
        <f t="shared" si="21"/>
        <v>2019</v>
      </c>
      <c r="K392" s="13"/>
      <c r="L392" s="13"/>
      <c r="M392" s="13" t="s">
        <v>37</v>
      </c>
      <c r="N392" s="13"/>
      <c r="O392" s="14" t="s">
        <v>2060</v>
      </c>
      <c r="P392" s="7" t="s">
        <v>2061</v>
      </c>
      <c r="Q392" s="7" t="s">
        <v>1374</v>
      </c>
      <c r="R392" s="7" t="s">
        <v>1375</v>
      </c>
      <c r="S392" s="7" t="s">
        <v>2062</v>
      </c>
      <c r="T392" s="7" t="s">
        <v>43</v>
      </c>
      <c r="U392" s="7">
        <v>17231719</v>
      </c>
      <c r="V392" s="7" t="str">
        <f t="shared" ref="V392:V448" si="22">TEXT(DATEVALUE(LEFT(O392,10)), "mm/dd/yyyy")</f>
        <v>09/26/2019</v>
      </c>
      <c r="W392" s="7" t="s">
        <v>44</v>
      </c>
      <c r="X392" s="7" t="s">
        <v>2063</v>
      </c>
    </row>
    <row r="393" spans="1:24" hidden="1" x14ac:dyDescent="0.25">
      <c r="A393" t="s">
        <v>24</v>
      </c>
      <c r="B393" s="7" t="s">
        <v>1367</v>
      </c>
      <c r="C393" s="7" t="s">
        <v>2064</v>
      </c>
      <c r="D393" s="7" t="s">
        <v>35</v>
      </c>
      <c r="E393" s="7" t="s">
        <v>28</v>
      </c>
      <c r="F393" s="7" t="s">
        <v>28</v>
      </c>
      <c r="G393" s="7"/>
      <c r="H393" s="7"/>
      <c r="I393" s="13" t="s">
        <v>36</v>
      </c>
      <c r="J393" s="13" t="str">
        <f t="shared" si="21"/>
        <v>2019</v>
      </c>
      <c r="K393" s="13"/>
      <c r="L393" s="13"/>
      <c r="M393" s="13" t="s">
        <v>37</v>
      </c>
      <c r="N393" s="13"/>
      <c r="O393" s="14" t="s">
        <v>2065</v>
      </c>
      <c r="P393" s="7" t="s">
        <v>2066</v>
      </c>
      <c r="Q393" s="7" t="s">
        <v>1374</v>
      </c>
      <c r="R393" s="7" t="s">
        <v>1375</v>
      </c>
      <c r="S393" s="7" t="s">
        <v>2067</v>
      </c>
      <c r="T393" s="7" t="s">
        <v>43</v>
      </c>
      <c r="U393" s="7">
        <v>17231720</v>
      </c>
      <c r="V393" s="7" t="str">
        <f t="shared" si="22"/>
        <v>09/26/2019</v>
      </c>
      <c r="W393" s="7" t="s">
        <v>44</v>
      </c>
      <c r="X393" s="7"/>
    </row>
    <row r="394" spans="1:24" hidden="1" x14ac:dyDescent="0.25">
      <c r="A394" t="s">
        <v>24</v>
      </c>
      <c r="B394" t="s">
        <v>1367</v>
      </c>
      <c r="C394" t="s">
        <v>2068</v>
      </c>
      <c r="D394" t="s">
        <v>35</v>
      </c>
      <c r="E394" t="s">
        <v>28</v>
      </c>
      <c r="F394" t="s">
        <v>28</v>
      </c>
      <c r="I394" s="3" t="s">
        <v>36</v>
      </c>
      <c r="J394" s="3" t="str">
        <f t="shared" si="21"/>
        <v>2019</v>
      </c>
      <c r="K394" s="3"/>
      <c r="L394" s="1" t="s">
        <v>281</v>
      </c>
      <c r="M394" s="1" t="s">
        <v>281</v>
      </c>
      <c r="N394" s="3"/>
      <c r="O394" s="2" t="s">
        <v>2069</v>
      </c>
      <c r="P394" t="s">
        <v>2070</v>
      </c>
      <c r="Q394" t="s">
        <v>1374</v>
      </c>
      <c r="R394" t="s">
        <v>1375</v>
      </c>
      <c r="S394" t="s">
        <v>2071</v>
      </c>
      <c r="T394" t="s">
        <v>43</v>
      </c>
      <c r="U394">
        <v>17231722</v>
      </c>
      <c r="V394" t="str">
        <f t="shared" si="22"/>
        <v>09/26/2019</v>
      </c>
      <c r="W394" t="s">
        <v>44</v>
      </c>
    </row>
    <row r="395" spans="1:24" hidden="1" x14ac:dyDescent="0.25">
      <c r="A395" t="s">
        <v>24</v>
      </c>
      <c r="B395" t="s">
        <v>1367</v>
      </c>
      <c r="C395" t="s">
        <v>2072</v>
      </c>
      <c r="D395" t="s">
        <v>35</v>
      </c>
      <c r="E395" t="s">
        <v>28</v>
      </c>
      <c r="F395" t="s">
        <v>28</v>
      </c>
      <c r="I395" s="3" t="s">
        <v>36</v>
      </c>
      <c r="J395" s="3" t="str">
        <f t="shared" si="21"/>
        <v>2019</v>
      </c>
      <c r="K395" s="3"/>
      <c r="L395" s="3" t="s">
        <v>37</v>
      </c>
      <c r="M395" s="1" t="s">
        <v>2073</v>
      </c>
      <c r="N395" s="3"/>
      <c r="O395" s="2" t="s">
        <v>2074</v>
      </c>
      <c r="P395" t="s">
        <v>2075</v>
      </c>
      <c r="Q395" t="s">
        <v>1374</v>
      </c>
      <c r="R395" t="s">
        <v>1375</v>
      </c>
      <c r="S395" t="s">
        <v>2076</v>
      </c>
      <c r="T395" t="s">
        <v>43</v>
      </c>
      <c r="U395">
        <v>17231724</v>
      </c>
      <c r="V395" t="str">
        <f t="shared" si="22"/>
        <v>09/26/2019</v>
      </c>
      <c r="W395" t="s">
        <v>44</v>
      </c>
    </row>
    <row r="396" spans="1:24" hidden="1" x14ac:dyDescent="0.25">
      <c r="A396" t="s">
        <v>24</v>
      </c>
      <c r="B396" s="7" t="s">
        <v>1367</v>
      </c>
      <c r="C396" s="7" t="s">
        <v>2077</v>
      </c>
      <c r="D396" s="7" t="s">
        <v>35</v>
      </c>
      <c r="E396" s="7" t="s">
        <v>28</v>
      </c>
      <c r="F396" s="7" t="s">
        <v>28</v>
      </c>
      <c r="G396" s="7"/>
      <c r="H396" s="7"/>
      <c r="I396" s="13" t="s">
        <v>36</v>
      </c>
      <c r="J396" s="13" t="str">
        <f t="shared" si="21"/>
        <v>2019</v>
      </c>
      <c r="K396" s="13"/>
      <c r="L396" s="13"/>
      <c r="M396" s="13" t="s">
        <v>37</v>
      </c>
      <c r="N396" s="13"/>
      <c r="O396" s="14" t="s">
        <v>2078</v>
      </c>
      <c r="P396" s="7" t="s">
        <v>2079</v>
      </c>
      <c r="Q396" s="7" t="s">
        <v>1374</v>
      </c>
      <c r="R396" s="7" t="s">
        <v>1375</v>
      </c>
      <c r="S396" s="7" t="s">
        <v>2080</v>
      </c>
      <c r="T396" s="7" t="s">
        <v>43</v>
      </c>
      <c r="U396" s="7">
        <v>17231723</v>
      </c>
      <c r="V396" s="7" t="str">
        <f t="shared" si="22"/>
        <v>09/26/2019</v>
      </c>
      <c r="W396" s="7" t="s">
        <v>44</v>
      </c>
      <c r="X396" s="7"/>
    </row>
    <row r="397" spans="1:24" hidden="1" x14ac:dyDescent="0.25">
      <c r="A397" t="s">
        <v>24</v>
      </c>
      <c r="B397" t="s">
        <v>1367</v>
      </c>
      <c r="C397" t="s">
        <v>2081</v>
      </c>
      <c r="D397" t="s">
        <v>35</v>
      </c>
      <c r="E397" t="s">
        <v>28</v>
      </c>
      <c r="F397" t="s">
        <v>28</v>
      </c>
      <c r="I397" s="3" t="s">
        <v>36</v>
      </c>
      <c r="J397" s="3" t="str">
        <f t="shared" si="21"/>
        <v>2019</v>
      </c>
      <c r="K397" s="3"/>
      <c r="L397" s="3" t="s">
        <v>37</v>
      </c>
      <c r="M397" s="1" t="s">
        <v>2082</v>
      </c>
      <c r="N397" s="3"/>
      <c r="O397" s="2" t="s">
        <v>2083</v>
      </c>
      <c r="P397" t="s">
        <v>2084</v>
      </c>
      <c r="Q397" t="s">
        <v>1374</v>
      </c>
      <c r="R397" t="s">
        <v>1375</v>
      </c>
      <c r="S397" t="s">
        <v>2085</v>
      </c>
      <c r="T397" t="s">
        <v>43</v>
      </c>
      <c r="U397">
        <v>17231727</v>
      </c>
      <c r="V397" t="str">
        <f t="shared" si="22"/>
        <v>09/26/2019</v>
      </c>
      <c r="W397" t="s">
        <v>44</v>
      </c>
      <c r="X397" t="s">
        <v>2086</v>
      </c>
    </row>
    <row r="398" spans="1:24" x14ac:dyDescent="0.25">
      <c r="A398" t="s">
        <v>24</v>
      </c>
      <c r="B398" t="s">
        <v>1367</v>
      </c>
      <c r="C398" t="s">
        <v>2087</v>
      </c>
      <c r="D398" t="s">
        <v>107</v>
      </c>
      <c r="E398" t="s">
        <v>26</v>
      </c>
      <c r="F398" t="s">
        <v>26</v>
      </c>
      <c r="G398" t="s">
        <v>27</v>
      </c>
      <c r="H398" t="s">
        <v>28</v>
      </c>
      <c r="I398" s="3" t="s">
        <v>1867</v>
      </c>
      <c r="J398" s="3" t="str">
        <f t="shared" si="21"/>
        <v>2020</v>
      </c>
      <c r="K398" s="3"/>
      <c r="L398" s="3"/>
      <c r="M398" s="3"/>
      <c r="N398" s="3"/>
      <c r="O398" s="2" t="s">
        <v>2088</v>
      </c>
      <c r="P398" t="s">
        <v>2089</v>
      </c>
      <c r="Q398" t="s">
        <v>1374</v>
      </c>
      <c r="R398" t="s">
        <v>1375</v>
      </c>
      <c r="S398" t="s">
        <v>2090</v>
      </c>
      <c r="T398" t="s">
        <v>43</v>
      </c>
      <c r="U398">
        <v>17231781</v>
      </c>
      <c r="V398" t="str">
        <f t="shared" si="22"/>
        <v>05/20/2020</v>
      </c>
      <c r="W398" t="s">
        <v>44</v>
      </c>
      <c r="X398" t="s">
        <v>2091</v>
      </c>
    </row>
    <row r="399" spans="1:24" hidden="1" x14ac:dyDescent="0.25">
      <c r="A399" t="s">
        <v>24</v>
      </c>
      <c r="B399" s="7" t="s">
        <v>1367</v>
      </c>
      <c r="C399" s="7" t="s">
        <v>2092</v>
      </c>
      <c r="D399" s="7" t="s">
        <v>35</v>
      </c>
      <c r="E399" s="7" t="s">
        <v>28</v>
      </c>
      <c r="F399" s="7" t="s">
        <v>28</v>
      </c>
      <c r="G399" s="7"/>
      <c r="H399" s="7"/>
      <c r="I399" s="13" t="s">
        <v>36</v>
      </c>
      <c r="J399" s="13" t="str">
        <f t="shared" si="21"/>
        <v>2019</v>
      </c>
      <c r="K399" s="13"/>
      <c r="L399" s="13"/>
      <c r="M399" s="13" t="s">
        <v>37</v>
      </c>
      <c r="N399" s="13"/>
      <c r="O399" s="14" t="s">
        <v>2093</v>
      </c>
      <c r="P399" s="7" t="s">
        <v>2094</v>
      </c>
      <c r="Q399" s="7" t="s">
        <v>1374</v>
      </c>
      <c r="R399" s="7" t="s">
        <v>1375</v>
      </c>
      <c r="S399" s="7" t="s">
        <v>2095</v>
      </c>
      <c r="T399" s="7" t="s">
        <v>43</v>
      </c>
      <c r="U399" s="7">
        <v>17231725</v>
      </c>
      <c r="V399" s="7" t="str">
        <f t="shared" si="22"/>
        <v>09/26/2019</v>
      </c>
      <c r="W399" s="7" t="s">
        <v>44</v>
      </c>
      <c r="X399" s="7"/>
    </row>
    <row r="400" spans="1:24" x14ac:dyDescent="0.25">
      <c r="A400" t="s">
        <v>24</v>
      </c>
      <c r="B400" s="7" t="s">
        <v>1367</v>
      </c>
      <c r="C400" t="s">
        <v>2096</v>
      </c>
      <c r="D400" t="s">
        <v>107</v>
      </c>
      <c r="E400" t="s">
        <v>26</v>
      </c>
      <c r="F400" t="s">
        <v>26</v>
      </c>
      <c r="G400" t="s">
        <v>27</v>
      </c>
      <c r="H400" t="s">
        <v>28</v>
      </c>
      <c r="I400" s="3" t="s">
        <v>2097</v>
      </c>
      <c r="J400" s="3" t="str">
        <f t="shared" si="21"/>
        <v>2020</v>
      </c>
      <c r="K400" s="3"/>
      <c r="L400" s="3"/>
      <c r="M400" s="3"/>
      <c r="N400" s="3"/>
      <c r="O400" s="2" t="s">
        <v>2098</v>
      </c>
      <c r="P400" t="s">
        <v>2099</v>
      </c>
      <c r="Q400" t="s">
        <v>1374</v>
      </c>
      <c r="R400" t="s">
        <v>1375</v>
      </c>
      <c r="S400" t="s">
        <v>2100</v>
      </c>
      <c r="T400" t="s">
        <v>43</v>
      </c>
      <c r="U400">
        <v>17231790</v>
      </c>
      <c r="V400" t="str">
        <f t="shared" si="22"/>
        <v>07/20/2020</v>
      </c>
      <c r="W400" t="s">
        <v>44</v>
      </c>
    </row>
    <row r="401" spans="1:24" hidden="1" x14ac:dyDescent="0.25">
      <c r="A401" t="s">
        <v>24</v>
      </c>
      <c r="B401" s="7" t="s">
        <v>1367</v>
      </c>
      <c r="C401" s="7" t="s">
        <v>2101</v>
      </c>
      <c r="D401" s="7" t="s">
        <v>35</v>
      </c>
      <c r="E401" s="7" t="s">
        <v>28</v>
      </c>
      <c r="F401" s="7" t="s">
        <v>28</v>
      </c>
      <c r="G401" s="7"/>
      <c r="H401" s="7"/>
      <c r="I401" s="13" t="s">
        <v>36</v>
      </c>
      <c r="J401" s="13" t="str">
        <f t="shared" si="21"/>
        <v>2019</v>
      </c>
      <c r="K401" s="13"/>
      <c r="L401" s="13"/>
      <c r="M401" s="13" t="s">
        <v>37</v>
      </c>
      <c r="N401" s="13"/>
      <c r="O401" s="14" t="s">
        <v>2102</v>
      </c>
      <c r="P401" s="7" t="s">
        <v>2103</v>
      </c>
      <c r="Q401" s="7" t="s">
        <v>1374</v>
      </c>
      <c r="R401" s="7" t="s">
        <v>1375</v>
      </c>
      <c r="S401" s="7" t="s">
        <v>2104</v>
      </c>
      <c r="T401" s="7" t="s">
        <v>43</v>
      </c>
      <c r="U401" s="7">
        <v>17231726</v>
      </c>
      <c r="V401" s="7" t="str">
        <f t="shared" si="22"/>
        <v>09/26/2019</v>
      </c>
      <c r="W401" s="7" t="s">
        <v>44</v>
      </c>
      <c r="X401" s="7" t="s">
        <v>2105</v>
      </c>
    </row>
    <row r="402" spans="1:24" hidden="1" x14ac:dyDescent="0.25">
      <c r="A402" t="s">
        <v>24</v>
      </c>
      <c r="B402" t="s">
        <v>1367</v>
      </c>
      <c r="C402" t="s">
        <v>2106</v>
      </c>
      <c r="D402" t="s">
        <v>35</v>
      </c>
      <c r="E402" t="s">
        <v>28</v>
      </c>
      <c r="F402" t="s">
        <v>28</v>
      </c>
      <c r="I402" s="3" t="s">
        <v>36</v>
      </c>
      <c r="J402" s="3" t="str">
        <f t="shared" si="21"/>
        <v>2019</v>
      </c>
      <c r="K402" s="3" t="s">
        <v>87</v>
      </c>
      <c r="L402" s="1" t="s">
        <v>2107</v>
      </c>
      <c r="M402" s="1" t="s">
        <v>2108</v>
      </c>
      <c r="N402" s="3" t="s">
        <v>2109</v>
      </c>
      <c r="O402" s="2" t="s">
        <v>2110</v>
      </c>
      <c r="P402" t="s">
        <v>2111</v>
      </c>
      <c r="Q402" t="s">
        <v>1374</v>
      </c>
      <c r="R402" t="s">
        <v>1375</v>
      </c>
      <c r="S402" t="s">
        <v>2112</v>
      </c>
      <c r="T402" t="s">
        <v>43</v>
      </c>
      <c r="U402">
        <v>17231731</v>
      </c>
      <c r="V402" t="str">
        <f t="shared" si="22"/>
        <v>09/26/2019</v>
      </c>
      <c r="W402" t="s">
        <v>44</v>
      </c>
      <c r="X402" t="s">
        <v>2113</v>
      </c>
    </row>
    <row r="403" spans="1:24" hidden="1" x14ac:dyDescent="0.25">
      <c r="A403" t="s">
        <v>24</v>
      </c>
      <c r="B403" s="7" t="s">
        <v>1367</v>
      </c>
      <c r="C403" s="7" t="s">
        <v>2086</v>
      </c>
      <c r="D403" s="7" t="s">
        <v>35</v>
      </c>
      <c r="E403" s="7" t="s">
        <v>28</v>
      </c>
      <c r="F403" s="7" t="s">
        <v>28</v>
      </c>
      <c r="G403" s="7"/>
      <c r="H403" s="7"/>
      <c r="I403" s="13" t="s">
        <v>36</v>
      </c>
      <c r="J403" s="13" t="str">
        <f t="shared" si="21"/>
        <v>2019</v>
      </c>
      <c r="K403" s="13"/>
      <c r="L403" s="13"/>
      <c r="M403" s="13" t="s">
        <v>37</v>
      </c>
      <c r="N403" s="13"/>
      <c r="O403" s="14" t="s">
        <v>2114</v>
      </c>
      <c r="P403" s="7" t="s">
        <v>2115</v>
      </c>
      <c r="Q403" s="7" t="s">
        <v>1374</v>
      </c>
      <c r="R403" s="7" t="s">
        <v>1375</v>
      </c>
      <c r="S403" s="7" t="s">
        <v>2116</v>
      </c>
      <c r="T403" s="7" t="s">
        <v>43</v>
      </c>
      <c r="U403" s="7">
        <v>17231728</v>
      </c>
      <c r="V403" s="7" t="str">
        <f t="shared" si="22"/>
        <v>09/26/2019</v>
      </c>
      <c r="W403" s="7" t="s">
        <v>44</v>
      </c>
      <c r="X403" s="7"/>
    </row>
    <row r="404" spans="1:24" hidden="1" x14ac:dyDescent="0.25">
      <c r="A404" t="s">
        <v>24</v>
      </c>
      <c r="B404" s="7" t="s">
        <v>1367</v>
      </c>
      <c r="C404" s="7" t="s">
        <v>1612</v>
      </c>
      <c r="D404" s="7" t="s">
        <v>35</v>
      </c>
      <c r="E404" s="7" t="s">
        <v>28</v>
      </c>
      <c r="F404" s="7" t="s">
        <v>28</v>
      </c>
      <c r="G404" s="7"/>
      <c r="H404" s="7"/>
      <c r="I404" s="13" t="s">
        <v>36</v>
      </c>
      <c r="J404" s="13" t="str">
        <f t="shared" si="21"/>
        <v>2019</v>
      </c>
      <c r="K404" s="13"/>
      <c r="L404" s="13"/>
      <c r="M404" s="13" t="s">
        <v>37</v>
      </c>
      <c r="N404" s="13"/>
      <c r="O404" s="14" t="s">
        <v>2117</v>
      </c>
      <c r="P404" s="7" t="s">
        <v>2118</v>
      </c>
      <c r="Q404" s="7" t="s">
        <v>1374</v>
      </c>
      <c r="R404" s="7" t="s">
        <v>1375</v>
      </c>
      <c r="S404" s="7" t="s">
        <v>2119</v>
      </c>
      <c r="T404" s="7" t="s">
        <v>43</v>
      </c>
      <c r="U404" s="7">
        <v>17231729</v>
      </c>
      <c r="V404" s="7" t="str">
        <f t="shared" si="22"/>
        <v>09/26/2019</v>
      </c>
      <c r="W404" s="7" t="s">
        <v>44</v>
      </c>
      <c r="X404" s="7" t="s">
        <v>2120</v>
      </c>
    </row>
    <row r="405" spans="1:24" hidden="1" x14ac:dyDescent="0.25">
      <c r="A405" t="s">
        <v>24</v>
      </c>
      <c r="B405" s="7" t="s">
        <v>1367</v>
      </c>
      <c r="C405" s="7" t="s">
        <v>2121</v>
      </c>
      <c r="D405" s="7" t="s">
        <v>35</v>
      </c>
      <c r="E405" s="7" t="s">
        <v>28</v>
      </c>
      <c r="F405" s="7" t="s">
        <v>28</v>
      </c>
      <c r="G405" s="7"/>
      <c r="H405" s="7"/>
      <c r="I405" s="13" t="s">
        <v>36</v>
      </c>
      <c r="J405" s="13" t="str">
        <f t="shared" si="21"/>
        <v>2019</v>
      </c>
      <c r="K405" s="13"/>
      <c r="L405" s="13"/>
      <c r="M405" s="13" t="s">
        <v>37</v>
      </c>
      <c r="N405" s="13"/>
      <c r="O405" s="14" t="s">
        <v>2122</v>
      </c>
      <c r="P405" s="7" t="s">
        <v>2123</v>
      </c>
      <c r="Q405" s="7" t="s">
        <v>1374</v>
      </c>
      <c r="R405" s="7" t="s">
        <v>1375</v>
      </c>
      <c r="S405" s="7" t="s">
        <v>2124</v>
      </c>
      <c r="T405" s="7" t="s">
        <v>43</v>
      </c>
      <c r="U405" s="7">
        <v>17231730</v>
      </c>
      <c r="V405" s="7" t="str">
        <f t="shared" si="22"/>
        <v>09/26/2019</v>
      </c>
      <c r="W405" s="7" t="s">
        <v>44</v>
      </c>
      <c r="X405" s="7" t="s">
        <v>2125</v>
      </c>
    </row>
    <row r="406" spans="1:24" hidden="1" x14ac:dyDescent="0.25">
      <c r="A406" t="s">
        <v>24</v>
      </c>
      <c r="B406" t="s">
        <v>1367</v>
      </c>
      <c r="C406" t="s">
        <v>2126</v>
      </c>
      <c r="D406" t="s">
        <v>35</v>
      </c>
      <c r="E406" t="s">
        <v>28</v>
      </c>
      <c r="F406" t="s">
        <v>28</v>
      </c>
      <c r="I406" s="3" t="s">
        <v>36</v>
      </c>
      <c r="J406" s="3" t="str">
        <f t="shared" si="21"/>
        <v>2019</v>
      </c>
      <c r="K406" s="3"/>
      <c r="L406" s="3" t="s">
        <v>37</v>
      </c>
      <c r="M406" s="1" t="s">
        <v>2127</v>
      </c>
      <c r="N406" s="3"/>
      <c r="O406" s="2" t="s">
        <v>2128</v>
      </c>
      <c r="P406" t="s">
        <v>2129</v>
      </c>
      <c r="Q406" t="s">
        <v>1374</v>
      </c>
      <c r="R406" t="s">
        <v>1375</v>
      </c>
      <c r="S406" t="s">
        <v>2130</v>
      </c>
      <c r="T406" t="s">
        <v>43</v>
      </c>
      <c r="U406">
        <v>17231733</v>
      </c>
      <c r="V406" t="str">
        <f t="shared" si="22"/>
        <v>09/26/2019</v>
      </c>
      <c r="W406" t="s">
        <v>44</v>
      </c>
    </row>
    <row r="407" spans="1:24" hidden="1" x14ac:dyDescent="0.25">
      <c r="A407" t="s">
        <v>24</v>
      </c>
      <c r="B407" s="7" t="s">
        <v>1367</v>
      </c>
      <c r="C407" s="7" t="s">
        <v>2131</v>
      </c>
      <c r="D407" s="7" t="s">
        <v>35</v>
      </c>
      <c r="E407" s="7" t="s">
        <v>28</v>
      </c>
      <c r="F407" s="7" t="s">
        <v>28</v>
      </c>
      <c r="G407" s="7"/>
      <c r="H407" s="7"/>
      <c r="I407" s="13" t="s">
        <v>36</v>
      </c>
      <c r="J407" s="13" t="str">
        <f t="shared" si="21"/>
        <v>2019</v>
      </c>
      <c r="K407" s="13"/>
      <c r="L407" s="13"/>
      <c r="M407" s="13" t="s">
        <v>37</v>
      </c>
      <c r="N407" s="13"/>
      <c r="O407" s="14" t="s">
        <v>2132</v>
      </c>
      <c r="P407" s="7" t="s">
        <v>2133</v>
      </c>
      <c r="Q407" s="7" t="s">
        <v>1374</v>
      </c>
      <c r="R407" s="7" t="s">
        <v>1375</v>
      </c>
      <c r="S407" s="7" t="s">
        <v>2134</v>
      </c>
      <c r="T407" s="7" t="s">
        <v>43</v>
      </c>
      <c r="U407" s="7">
        <v>17231732</v>
      </c>
      <c r="V407" s="7" t="str">
        <f t="shared" si="22"/>
        <v>09/26/2019</v>
      </c>
      <c r="W407" s="7" t="s">
        <v>44</v>
      </c>
      <c r="X407" s="7"/>
    </row>
    <row r="408" spans="1:24" hidden="1" x14ac:dyDescent="0.25">
      <c r="A408" t="s">
        <v>24</v>
      </c>
      <c r="B408" t="s">
        <v>1367</v>
      </c>
      <c r="C408" t="s">
        <v>2135</v>
      </c>
      <c r="D408" t="s">
        <v>35</v>
      </c>
      <c r="E408" t="s">
        <v>28</v>
      </c>
      <c r="F408" t="s">
        <v>28</v>
      </c>
      <c r="I408" s="3" t="s">
        <v>36</v>
      </c>
      <c r="J408" s="3" t="str">
        <f t="shared" si="21"/>
        <v>2019</v>
      </c>
      <c r="K408" s="3" t="s">
        <v>87</v>
      </c>
      <c r="L408" s="1" t="s">
        <v>801</v>
      </c>
      <c r="M408" s="1" t="s">
        <v>2136</v>
      </c>
      <c r="N408" s="3" t="s">
        <v>2137</v>
      </c>
      <c r="O408" s="2" t="s">
        <v>2138</v>
      </c>
      <c r="P408" t="s">
        <v>2139</v>
      </c>
      <c r="Q408" t="s">
        <v>1374</v>
      </c>
      <c r="R408" t="s">
        <v>1375</v>
      </c>
      <c r="S408" t="s">
        <v>2140</v>
      </c>
      <c r="T408" t="s">
        <v>43</v>
      </c>
      <c r="U408">
        <v>17231736</v>
      </c>
      <c r="V408" t="str">
        <f t="shared" si="22"/>
        <v>09/26/2019</v>
      </c>
      <c r="W408" t="s">
        <v>44</v>
      </c>
      <c r="X408" t="s">
        <v>2141</v>
      </c>
    </row>
    <row r="409" spans="1:24" hidden="1" x14ac:dyDescent="0.25">
      <c r="A409" t="s">
        <v>24</v>
      </c>
      <c r="B409" s="6" t="s">
        <v>1367</v>
      </c>
      <c r="C409" s="6" t="s">
        <v>2142</v>
      </c>
      <c r="D409" s="6" t="s">
        <v>35</v>
      </c>
      <c r="E409" s="6" t="s">
        <v>28</v>
      </c>
      <c r="F409" s="6" t="s">
        <v>28</v>
      </c>
      <c r="G409" s="6"/>
      <c r="H409" s="6"/>
      <c r="I409" s="10" t="s">
        <v>36</v>
      </c>
      <c r="J409" s="10" t="str">
        <f t="shared" si="21"/>
        <v>2019</v>
      </c>
      <c r="K409" s="10"/>
      <c r="L409" s="10"/>
      <c r="M409" s="10" t="s">
        <v>37</v>
      </c>
      <c r="N409" s="10"/>
      <c r="O409" s="11" t="s">
        <v>2143</v>
      </c>
      <c r="P409" s="6" t="s">
        <v>2144</v>
      </c>
      <c r="Q409" s="6" t="s">
        <v>1374</v>
      </c>
      <c r="R409" s="6" t="s">
        <v>1375</v>
      </c>
      <c r="S409" s="6" t="s">
        <v>2145</v>
      </c>
      <c r="T409" s="6" t="s">
        <v>43</v>
      </c>
      <c r="U409" s="6">
        <v>17231735</v>
      </c>
      <c r="V409" s="6" t="str">
        <f t="shared" si="22"/>
        <v>09/26/2019</v>
      </c>
      <c r="W409" s="6" t="s">
        <v>44</v>
      </c>
      <c r="X409" s="6" t="s">
        <v>2146</v>
      </c>
    </row>
    <row r="410" spans="1:24" hidden="1" x14ac:dyDescent="0.25">
      <c r="A410" t="s">
        <v>24</v>
      </c>
      <c r="B410" t="s">
        <v>1367</v>
      </c>
      <c r="C410" t="s">
        <v>2147</v>
      </c>
      <c r="D410" t="s">
        <v>35</v>
      </c>
      <c r="E410" t="s">
        <v>28</v>
      </c>
      <c r="F410" t="s">
        <v>28</v>
      </c>
      <c r="I410" s="3" t="s">
        <v>36</v>
      </c>
      <c r="J410" s="3" t="str">
        <f t="shared" si="21"/>
        <v>2019</v>
      </c>
      <c r="K410" s="3"/>
      <c r="L410" s="3" t="s">
        <v>37</v>
      </c>
      <c r="M410" s="1" t="s">
        <v>2108</v>
      </c>
      <c r="N410" s="3"/>
      <c r="O410" s="2" t="s">
        <v>2148</v>
      </c>
      <c r="P410" t="s">
        <v>2149</v>
      </c>
      <c r="Q410" t="s">
        <v>1374</v>
      </c>
      <c r="R410" t="s">
        <v>1375</v>
      </c>
      <c r="S410" t="s">
        <v>2150</v>
      </c>
      <c r="T410" t="s">
        <v>43</v>
      </c>
      <c r="U410">
        <v>17231738</v>
      </c>
      <c r="V410" t="str">
        <f t="shared" si="22"/>
        <v>09/26/2019</v>
      </c>
      <c r="W410" t="s">
        <v>44</v>
      </c>
      <c r="X410" t="s">
        <v>2151</v>
      </c>
    </row>
    <row r="411" spans="1:24" hidden="1" x14ac:dyDescent="0.25">
      <c r="A411" t="s">
        <v>24</v>
      </c>
      <c r="B411" s="7" t="s">
        <v>1367</v>
      </c>
      <c r="C411" s="7" t="s">
        <v>2141</v>
      </c>
      <c r="D411" s="7" t="s">
        <v>35</v>
      </c>
      <c r="E411" s="7" t="s">
        <v>28</v>
      </c>
      <c r="F411" s="7" t="s">
        <v>28</v>
      </c>
      <c r="G411" s="7"/>
      <c r="H411" s="7"/>
      <c r="I411" s="13" t="s">
        <v>36</v>
      </c>
      <c r="J411" s="13" t="str">
        <f t="shared" si="21"/>
        <v>2019</v>
      </c>
      <c r="K411" s="13"/>
      <c r="L411" s="13"/>
      <c r="M411" s="13" t="s">
        <v>37</v>
      </c>
      <c r="N411" s="13"/>
      <c r="O411" s="14" t="s">
        <v>2152</v>
      </c>
      <c r="P411" s="7" t="s">
        <v>2153</v>
      </c>
      <c r="Q411" s="7" t="s">
        <v>1374</v>
      </c>
      <c r="R411" s="7" t="s">
        <v>1375</v>
      </c>
      <c r="S411" s="7" t="s">
        <v>2154</v>
      </c>
      <c r="T411" s="7" t="s">
        <v>43</v>
      </c>
      <c r="U411" s="7">
        <v>17231737</v>
      </c>
      <c r="V411" s="7" t="str">
        <f t="shared" si="22"/>
        <v>09/26/2019</v>
      </c>
      <c r="W411" s="7" t="s">
        <v>44</v>
      </c>
      <c r="X411" s="7" t="s">
        <v>2155</v>
      </c>
    </row>
    <row r="412" spans="1:24" hidden="1" x14ac:dyDescent="0.25">
      <c r="A412" t="s">
        <v>24</v>
      </c>
      <c r="B412" t="s">
        <v>1367</v>
      </c>
      <c r="C412" t="s">
        <v>2156</v>
      </c>
      <c r="D412" t="s">
        <v>35</v>
      </c>
      <c r="E412" t="s">
        <v>28</v>
      </c>
      <c r="F412" t="s">
        <v>28</v>
      </c>
      <c r="I412" s="3" t="s">
        <v>36</v>
      </c>
      <c r="J412" s="3" t="str">
        <f t="shared" si="21"/>
        <v>2019</v>
      </c>
      <c r="K412" s="3"/>
      <c r="L412" s="3" t="s">
        <v>37</v>
      </c>
      <c r="M412" s="1" t="s">
        <v>1352</v>
      </c>
      <c r="N412" s="3"/>
      <c r="O412" s="2" t="s">
        <v>2157</v>
      </c>
      <c r="P412" t="s">
        <v>2158</v>
      </c>
      <c r="Q412" t="s">
        <v>1374</v>
      </c>
      <c r="R412" t="s">
        <v>1375</v>
      </c>
      <c r="S412" t="s">
        <v>2159</v>
      </c>
      <c r="T412" t="s">
        <v>43</v>
      </c>
      <c r="U412">
        <v>17231741</v>
      </c>
      <c r="V412" t="str">
        <f t="shared" si="22"/>
        <v>09/26/2019</v>
      </c>
      <c r="W412" t="s">
        <v>44</v>
      </c>
      <c r="X412" t="s">
        <v>2160</v>
      </c>
    </row>
    <row r="413" spans="1:24" hidden="1" x14ac:dyDescent="0.25">
      <c r="A413" t="s">
        <v>24</v>
      </c>
      <c r="B413" s="7" t="s">
        <v>1367</v>
      </c>
      <c r="C413" s="7" t="s">
        <v>2161</v>
      </c>
      <c r="D413" s="7" t="s">
        <v>35</v>
      </c>
      <c r="E413" s="7" t="s">
        <v>28</v>
      </c>
      <c r="F413" s="7" t="s">
        <v>28</v>
      </c>
      <c r="G413" s="7"/>
      <c r="H413" s="7"/>
      <c r="I413" s="13" t="s">
        <v>36</v>
      </c>
      <c r="J413" s="13" t="str">
        <f t="shared" si="21"/>
        <v>2019</v>
      </c>
      <c r="K413" s="13"/>
      <c r="L413" s="13"/>
      <c r="M413" s="13" t="s">
        <v>37</v>
      </c>
      <c r="N413" s="13"/>
      <c r="O413" s="14" t="s">
        <v>2162</v>
      </c>
      <c r="P413" s="7" t="s">
        <v>2163</v>
      </c>
      <c r="Q413" s="7" t="s">
        <v>1374</v>
      </c>
      <c r="R413" s="7" t="s">
        <v>1375</v>
      </c>
      <c r="S413" s="7" t="s">
        <v>2164</v>
      </c>
      <c r="T413" s="7" t="s">
        <v>43</v>
      </c>
      <c r="U413" s="7">
        <v>17231740</v>
      </c>
      <c r="V413" s="7" t="str">
        <f t="shared" si="22"/>
        <v>09/26/2019</v>
      </c>
      <c r="W413" s="7" t="s">
        <v>44</v>
      </c>
      <c r="X413" s="7" t="s">
        <v>2165</v>
      </c>
    </row>
    <row r="414" spans="1:24" hidden="1" x14ac:dyDescent="0.25">
      <c r="A414" t="s">
        <v>24</v>
      </c>
      <c r="B414" t="s">
        <v>1367</v>
      </c>
      <c r="C414" t="s">
        <v>2166</v>
      </c>
      <c r="D414" t="s">
        <v>35</v>
      </c>
      <c r="E414" t="s">
        <v>28</v>
      </c>
      <c r="F414" t="s">
        <v>28</v>
      </c>
      <c r="I414" s="3" t="s">
        <v>36</v>
      </c>
      <c r="J414" s="3" t="str">
        <f t="shared" si="21"/>
        <v>2019</v>
      </c>
      <c r="K414" s="3"/>
      <c r="L414" s="3" t="s">
        <v>37</v>
      </c>
      <c r="M414" s="1" t="s">
        <v>1352</v>
      </c>
      <c r="N414" s="3"/>
      <c r="O414" s="2" t="s">
        <v>2167</v>
      </c>
      <c r="P414" t="s">
        <v>2168</v>
      </c>
      <c r="Q414" t="s">
        <v>1374</v>
      </c>
      <c r="R414" t="s">
        <v>1375</v>
      </c>
      <c r="S414" t="s">
        <v>2169</v>
      </c>
      <c r="T414" t="s">
        <v>43</v>
      </c>
      <c r="U414">
        <v>17231743</v>
      </c>
      <c r="V414" t="str">
        <f t="shared" si="22"/>
        <v>09/26/2019</v>
      </c>
      <c r="W414" t="s">
        <v>44</v>
      </c>
      <c r="X414" t="s">
        <v>2170</v>
      </c>
    </row>
    <row r="415" spans="1:24" hidden="1" x14ac:dyDescent="0.25">
      <c r="A415" t="s">
        <v>24</v>
      </c>
      <c r="B415" s="7" t="s">
        <v>1367</v>
      </c>
      <c r="C415" s="7" t="s">
        <v>2171</v>
      </c>
      <c r="D415" s="7" t="s">
        <v>35</v>
      </c>
      <c r="E415" s="7" t="s">
        <v>28</v>
      </c>
      <c r="F415" s="7" t="s">
        <v>28</v>
      </c>
      <c r="G415" s="7"/>
      <c r="H415" s="7"/>
      <c r="I415" s="13" t="s">
        <v>36</v>
      </c>
      <c r="J415" s="13" t="str">
        <f t="shared" si="21"/>
        <v>2019</v>
      </c>
      <c r="K415" s="13"/>
      <c r="L415" s="13"/>
      <c r="M415" s="13" t="s">
        <v>37</v>
      </c>
      <c r="N415" s="13"/>
      <c r="O415" s="14" t="s">
        <v>2172</v>
      </c>
      <c r="P415" s="7" t="s">
        <v>2173</v>
      </c>
      <c r="Q415" s="7" t="s">
        <v>1374</v>
      </c>
      <c r="R415" s="7" t="s">
        <v>1375</v>
      </c>
      <c r="S415" s="7" t="s">
        <v>2174</v>
      </c>
      <c r="T415" s="7" t="s">
        <v>43</v>
      </c>
      <c r="U415" s="7">
        <v>17231742</v>
      </c>
      <c r="V415" s="7" t="str">
        <f t="shared" si="22"/>
        <v>09/26/2019</v>
      </c>
      <c r="W415" s="7" t="s">
        <v>44</v>
      </c>
      <c r="X415" s="7"/>
    </row>
    <row r="416" spans="1:24" hidden="1" x14ac:dyDescent="0.25">
      <c r="A416" t="s">
        <v>24</v>
      </c>
      <c r="B416" t="s">
        <v>1367</v>
      </c>
      <c r="C416" t="s">
        <v>2175</v>
      </c>
      <c r="D416" t="s">
        <v>35</v>
      </c>
      <c r="E416" t="s">
        <v>28</v>
      </c>
      <c r="F416" t="s">
        <v>28</v>
      </c>
      <c r="I416" s="3" t="s">
        <v>36</v>
      </c>
      <c r="J416" s="3" t="str">
        <f t="shared" si="21"/>
        <v>2019</v>
      </c>
      <c r="K416" s="3"/>
      <c r="L416" s="3" t="s">
        <v>37</v>
      </c>
      <c r="M416" s="1" t="s">
        <v>1352</v>
      </c>
      <c r="N416" s="3"/>
      <c r="O416" s="2" t="s">
        <v>2176</v>
      </c>
      <c r="P416" t="s">
        <v>2177</v>
      </c>
      <c r="Q416" t="s">
        <v>1374</v>
      </c>
      <c r="R416" t="s">
        <v>1375</v>
      </c>
      <c r="S416" t="s">
        <v>2178</v>
      </c>
      <c r="T416" t="s">
        <v>43</v>
      </c>
      <c r="U416">
        <v>17231744</v>
      </c>
      <c r="V416" t="str">
        <f t="shared" si="22"/>
        <v>09/26/2019</v>
      </c>
      <c r="W416" t="s">
        <v>44</v>
      </c>
      <c r="X416" t="s">
        <v>2179</v>
      </c>
    </row>
    <row r="417" spans="1:24" hidden="1" x14ac:dyDescent="0.25">
      <c r="A417" t="s">
        <v>24</v>
      </c>
      <c r="B417" t="s">
        <v>1367</v>
      </c>
      <c r="C417" t="s">
        <v>2180</v>
      </c>
      <c r="D417" t="s">
        <v>35</v>
      </c>
      <c r="E417" t="s">
        <v>28</v>
      </c>
      <c r="F417" t="s">
        <v>28</v>
      </c>
      <c r="I417" s="3" t="s">
        <v>36</v>
      </c>
      <c r="J417" s="3" t="str">
        <f t="shared" si="21"/>
        <v>2019</v>
      </c>
      <c r="K417" s="3"/>
      <c r="L417" s="3" t="s">
        <v>37</v>
      </c>
      <c r="M417" s="12" t="s">
        <v>2136</v>
      </c>
      <c r="N417" s="3"/>
      <c r="O417" s="2" t="s">
        <v>2181</v>
      </c>
      <c r="P417" t="s">
        <v>2182</v>
      </c>
      <c r="Q417" t="s">
        <v>1374</v>
      </c>
      <c r="R417" t="s">
        <v>1375</v>
      </c>
      <c r="S417" t="s">
        <v>2183</v>
      </c>
      <c r="T417" t="s">
        <v>43</v>
      </c>
      <c r="U417">
        <v>17231746</v>
      </c>
      <c r="V417" t="str">
        <f t="shared" si="22"/>
        <v>09/26/2019</v>
      </c>
      <c r="W417" t="s">
        <v>44</v>
      </c>
    </row>
    <row r="418" spans="1:24" hidden="1" x14ac:dyDescent="0.25">
      <c r="A418" t="s">
        <v>24</v>
      </c>
      <c r="B418" s="7" t="s">
        <v>1367</v>
      </c>
      <c r="C418" s="7" t="s">
        <v>1708</v>
      </c>
      <c r="D418" s="7" t="s">
        <v>35</v>
      </c>
      <c r="E418" s="7" t="s">
        <v>28</v>
      </c>
      <c r="F418" s="7" t="s">
        <v>28</v>
      </c>
      <c r="G418" s="7"/>
      <c r="H418" s="7"/>
      <c r="I418" s="13" t="s">
        <v>36</v>
      </c>
      <c r="J418" s="13" t="str">
        <f t="shared" si="21"/>
        <v>2019</v>
      </c>
      <c r="K418" s="13"/>
      <c r="L418" s="13"/>
      <c r="M418" s="13" t="s">
        <v>37</v>
      </c>
      <c r="N418" s="13"/>
      <c r="O418" s="14" t="s">
        <v>2184</v>
      </c>
      <c r="P418" s="7" t="s">
        <v>2185</v>
      </c>
      <c r="Q418" s="7" t="s">
        <v>1374</v>
      </c>
      <c r="R418" s="7" t="s">
        <v>1375</v>
      </c>
      <c r="S418" s="7" t="s">
        <v>2186</v>
      </c>
      <c r="T418" s="7" t="s">
        <v>43</v>
      </c>
      <c r="U418" s="7">
        <v>17231745</v>
      </c>
      <c r="V418" s="7" t="str">
        <f t="shared" si="22"/>
        <v>09/26/2019</v>
      </c>
      <c r="W418" s="7" t="s">
        <v>44</v>
      </c>
      <c r="X418" s="7" t="s">
        <v>2187</v>
      </c>
    </row>
    <row r="419" spans="1:24" hidden="1" x14ac:dyDescent="0.25">
      <c r="A419" t="s">
        <v>24</v>
      </c>
      <c r="B419" t="s">
        <v>1367</v>
      </c>
      <c r="C419" t="s">
        <v>1648</v>
      </c>
      <c r="D419" t="s">
        <v>35</v>
      </c>
      <c r="E419" t="s">
        <v>28</v>
      </c>
      <c r="F419" t="s">
        <v>28</v>
      </c>
      <c r="I419" s="3" t="s">
        <v>36</v>
      </c>
      <c r="J419" s="3" t="str">
        <f t="shared" si="21"/>
        <v>2019</v>
      </c>
      <c r="K419" s="3"/>
      <c r="L419" s="3" t="s">
        <v>37</v>
      </c>
      <c r="M419" s="1" t="s">
        <v>2188</v>
      </c>
      <c r="N419" s="3"/>
      <c r="O419" s="2" t="s">
        <v>2189</v>
      </c>
      <c r="P419" t="s">
        <v>2190</v>
      </c>
      <c r="Q419" t="s">
        <v>1374</v>
      </c>
      <c r="R419" t="s">
        <v>1375</v>
      </c>
      <c r="S419" t="s">
        <v>2191</v>
      </c>
      <c r="T419" t="s">
        <v>43</v>
      </c>
      <c r="U419">
        <v>17231748</v>
      </c>
      <c r="V419" t="str">
        <f t="shared" si="22"/>
        <v>09/26/2019</v>
      </c>
      <c r="W419" t="s">
        <v>44</v>
      </c>
      <c r="X419" t="s">
        <v>2192</v>
      </c>
    </row>
    <row r="420" spans="1:24" hidden="1" x14ac:dyDescent="0.25">
      <c r="A420" t="s">
        <v>24</v>
      </c>
      <c r="B420" s="7" t="s">
        <v>1367</v>
      </c>
      <c r="C420" s="7" t="s">
        <v>2193</v>
      </c>
      <c r="D420" s="7" t="s">
        <v>35</v>
      </c>
      <c r="E420" s="7" t="s">
        <v>28</v>
      </c>
      <c r="F420" s="7" t="s">
        <v>28</v>
      </c>
      <c r="G420" s="7"/>
      <c r="H420" s="7"/>
      <c r="I420" s="13" t="s">
        <v>36</v>
      </c>
      <c r="J420" s="13" t="str">
        <f t="shared" si="21"/>
        <v>2019</v>
      </c>
      <c r="K420" s="13"/>
      <c r="L420" s="13"/>
      <c r="M420" s="13" t="s">
        <v>37</v>
      </c>
      <c r="N420" s="13"/>
      <c r="O420" s="14" t="s">
        <v>2194</v>
      </c>
      <c r="P420" s="7" t="s">
        <v>2195</v>
      </c>
      <c r="Q420" s="7" t="s">
        <v>1374</v>
      </c>
      <c r="R420" s="7" t="s">
        <v>1375</v>
      </c>
      <c r="S420" s="7" t="s">
        <v>2196</v>
      </c>
      <c r="T420" s="7" t="s">
        <v>43</v>
      </c>
      <c r="U420" s="7">
        <v>17231747</v>
      </c>
      <c r="V420" s="7" t="str">
        <f t="shared" si="22"/>
        <v>09/26/2019</v>
      </c>
      <c r="W420" s="7" t="s">
        <v>44</v>
      </c>
      <c r="X420" s="7" t="s">
        <v>2197</v>
      </c>
    </row>
    <row r="421" spans="1:24" hidden="1" x14ac:dyDescent="0.25">
      <c r="A421" t="s">
        <v>24</v>
      </c>
      <c r="B421" t="s">
        <v>1367</v>
      </c>
      <c r="C421" t="s">
        <v>1700</v>
      </c>
      <c r="D421" t="s">
        <v>35</v>
      </c>
      <c r="E421" t="s">
        <v>28</v>
      </c>
      <c r="F421" t="s">
        <v>28</v>
      </c>
      <c r="I421" s="3" t="s">
        <v>36</v>
      </c>
      <c r="J421" s="3" t="str">
        <f t="shared" si="21"/>
        <v>2019</v>
      </c>
      <c r="K421" s="3"/>
      <c r="L421" s="3" t="s">
        <v>37</v>
      </c>
      <c r="M421" s="1" t="s">
        <v>281</v>
      </c>
      <c r="N421" s="3"/>
      <c r="O421" s="2" t="s">
        <v>2198</v>
      </c>
      <c r="P421" t="s">
        <v>2199</v>
      </c>
      <c r="Q421" t="s">
        <v>1374</v>
      </c>
      <c r="R421" t="s">
        <v>1375</v>
      </c>
      <c r="S421" t="s">
        <v>2200</v>
      </c>
      <c r="T421" t="s">
        <v>43</v>
      </c>
      <c r="U421">
        <v>17231751</v>
      </c>
      <c r="V421" t="str">
        <f t="shared" si="22"/>
        <v>09/26/2019</v>
      </c>
      <c r="W421" t="s">
        <v>44</v>
      </c>
    </row>
    <row r="422" spans="1:24" hidden="1" x14ac:dyDescent="0.25">
      <c r="A422" t="s">
        <v>24</v>
      </c>
      <c r="B422" s="7" t="s">
        <v>1367</v>
      </c>
      <c r="C422" s="7" t="s">
        <v>2201</v>
      </c>
      <c r="D422" s="7" t="s">
        <v>35</v>
      </c>
      <c r="E422" s="7" t="s">
        <v>28</v>
      </c>
      <c r="F422" s="7" t="s">
        <v>28</v>
      </c>
      <c r="G422" s="7"/>
      <c r="H422" s="7"/>
      <c r="I422" s="13" t="s">
        <v>36</v>
      </c>
      <c r="J422" s="13" t="str">
        <f t="shared" si="21"/>
        <v>2019</v>
      </c>
      <c r="K422" s="13"/>
      <c r="L422" s="13"/>
      <c r="M422" s="13" t="s">
        <v>37</v>
      </c>
      <c r="N422" s="13"/>
      <c r="O422" s="14" t="s">
        <v>2202</v>
      </c>
      <c r="P422" s="7" t="s">
        <v>2203</v>
      </c>
      <c r="Q422" s="7" t="s">
        <v>1374</v>
      </c>
      <c r="R422" s="7" t="s">
        <v>1375</v>
      </c>
      <c r="S422" s="7" t="s">
        <v>2204</v>
      </c>
      <c r="T422" s="7" t="s">
        <v>43</v>
      </c>
      <c r="U422" s="7">
        <v>17231749</v>
      </c>
      <c r="V422" s="7" t="str">
        <f t="shared" si="22"/>
        <v>09/26/2019</v>
      </c>
      <c r="W422" s="7" t="s">
        <v>44</v>
      </c>
      <c r="X422" s="7" t="s">
        <v>2205</v>
      </c>
    </row>
    <row r="423" spans="1:24" hidden="1" x14ac:dyDescent="0.25">
      <c r="A423" t="s">
        <v>24</v>
      </c>
      <c r="B423" t="s">
        <v>1367</v>
      </c>
      <c r="C423" t="s">
        <v>2206</v>
      </c>
      <c r="D423" t="s">
        <v>35</v>
      </c>
      <c r="E423" t="s">
        <v>28</v>
      </c>
      <c r="F423" t="s">
        <v>28</v>
      </c>
      <c r="I423" s="3" t="s">
        <v>36</v>
      </c>
      <c r="J423" s="3" t="str">
        <f t="shared" si="21"/>
        <v>2019</v>
      </c>
      <c r="K423" s="3"/>
      <c r="L423" s="3" t="s">
        <v>37</v>
      </c>
      <c r="M423" s="1" t="s">
        <v>2025</v>
      </c>
      <c r="N423" s="3"/>
      <c r="O423" s="2" t="s">
        <v>2207</v>
      </c>
      <c r="P423" t="s">
        <v>2208</v>
      </c>
      <c r="Q423" t="s">
        <v>1374</v>
      </c>
      <c r="R423" t="s">
        <v>1375</v>
      </c>
      <c r="S423" t="s">
        <v>2209</v>
      </c>
      <c r="T423" t="s">
        <v>43</v>
      </c>
      <c r="U423">
        <v>17231759</v>
      </c>
      <c r="V423" t="str">
        <f t="shared" si="22"/>
        <v>09/26/2019</v>
      </c>
      <c r="W423" t="s">
        <v>44</v>
      </c>
      <c r="X423" t="s">
        <v>2210</v>
      </c>
    </row>
    <row r="424" spans="1:24" hidden="1" x14ac:dyDescent="0.25">
      <c r="A424" t="s">
        <v>24</v>
      </c>
      <c r="B424" s="7" t="s">
        <v>1367</v>
      </c>
      <c r="C424" s="7" t="s">
        <v>2211</v>
      </c>
      <c r="D424" s="7" t="s">
        <v>35</v>
      </c>
      <c r="E424" s="7" t="s">
        <v>28</v>
      </c>
      <c r="F424" s="7" t="s">
        <v>28</v>
      </c>
      <c r="G424" s="7"/>
      <c r="H424" s="7"/>
      <c r="I424" s="13" t="s">
        <v>36</v>
      </c>
      <c r="J424" s="13" t="str">
        <f t="shared" si="21"/>
        <v>2019</v>
      </c>
      <c r="K424" s="13"/>
      <c r="L424" s="13"/>
      <c r="M424" s="13" t="s">
        <v>37</v>
      </c>
      <c r="N424" s="13"/>
      <c r="O424" s="14" t="s">
        <v>2212</v>
      </c>
      <c r="P424" s="7" t="s">
        <v>2213</v>
      </c>
      <c r="Q424" s="7" t="s">
        <v>1374</v>
      </c>
      <c r="R424" s="7" t="s">
        <v>1375</v>
      </c>
      <c r="S424" s="7" t="s">
        <v>2214</v>
      </c>
      <c r="T424" s="7" t="s">
        <v>43</v>
      </c>
      <c r="U424" s="7">
        <v>17231752</v>
      </c>
      <c r="V424" s="7" t="str">
        <f t="shared" si="22"/>
        <v>09/26/2019</v>
      </c>
      <c r="W424" s="7" t="s">
        <v>44</v>
      </c>
      <c r="X424" s="7" t="s">
        <v>2215</v>
      </c>
    </row>
    <row r="425" spans="1:24" hidden="1" x14ac:dyDescent="0.25">
      <c r="A425" t="s">
        <v>24</v>
      </c>
      <c r="B425" s="7" t="s">
        <v>1367</v>
      </c>
      <c r="C425" s="7" t="s">
        <v>2216</v>
      </c>
      <c r="D425" s="7" t="s">
        <v>35</v>
      </c>
      <c r="E425" s="7" t="s">
        <v>28</v>
      </c>
      <c r="F425" s="7" t="s">
        <v>28</v>
      </c>
      <c r="G425" s="7"/>
      <c r="H425" s="7"/>
      <c r="I425" s="13" t="s">
        <v>36</v>
      </c>
      <c r="J425" s="13" t="str">
        <f t="shared" si="21"/>
        <v>2019</v>
      </c>
      <c r="K425" s="13"/>
      <c r="L425" s="13"/>
      <c r="M425" s="13" t="s">
        <v>37</v>
      </c>
      <c r="N425" s="13"/>
      <c r="O425" s="14" t="s">
        <v>2217</v>
      </c>
      <c r="P425" s="7" t="s">
        <v>2218</v>
      </c>
      <c r="Q425" s="7" t="s">
        <v>1374</v>
      </c>
      <c r="R425" s="7" t="s">
        <v>1375</v>
      </c>
      <c r="S425" s="7" t="s">
        <v>2219</v>
      </c>
      <c r="T425" s="7" t="s">
        <v>43</v>
      </c>
      <c r="U425" s="7">
        <v>17231753</v>
      </c>
      <c r="V425" s="7" t="str">
        <f t="shared" si="22"/>
        <v>09/26/2019</v>
      </c>
      <c r="W425" s="7" t="s">
        <v>44</v>
      </c>
      <c r="X425" s="7"/>
    </row>
    <row r="426" spans="1:24" hidden="1" x14ac:dyDescent="0.25">
      <c r="A426" t="s">
        <v>24</v>
      </c>
      <c r="B426" s="7" t="s">
        <v>1367</v>
      </c>
      <c r="C426" s="7" t="s">
        <v>2220</v>
      </c>
      <c r="D426" s="7" t="s">
        <v>35</v>
      </c>
      <c r="E426" s="7" t="s">
        <v>28</v>
      </c>
      <c r="F426" s="7" t="s">
        <v>28</v>
      </c>
      <c r="G426" s="7"/>
      <c r="H426" s="7"/>
      <c r="I426" s="13" t="s">
        <v>36</v>
      </c>
      <c r="J426" s="13" t="str">
        <f t="shared" si="21"/>
        <v>2019</v>
      </c>
      <c r="K426" s="13"/>
      <c r="L426" s="13"/>
      <c r="M426" s="13" t="s">
        <v>37</v>
      </c>
      <c r="N426" s="13"/>
      <c r="O426" s="14" t="s">
        <v>2221</v>
      </c>
      <c r="P426" s="7" t="s">
        <v>2222</v>
      </c>
      <c r="Q426" s="7" t="s">
        <v>1374</v>
      </c>
      <c r="R426" s="7" t="s">
        <v>1375</v>
      </c>
      <c r="S426" s="7" t="s">
        <v>2223</v>
      </c>
      <c r="T426" s="7" t="s">
        <v>43</v>
      </c>
      <c r="U426" s="7">
        <v>17231754</v>
      </c>
      <c r="V426" s="7" t="str">
        <f t="shared" si="22"/>
        <v>09/26/2019</v>
      </c>
      <c r="W426" s="7" t="s">
        <v>44</v>
      </c>
      <c r="X426" s="7"/>
    </row>
    <row r="427" spans="1:24" hidden="1" x14ac:dyDescent="0.25">
      <c r="A427" t="s">
        <v>24</v>
      </c>
      <c r="B427" s="7" t="s">
        <v>1367</v>
      </c>
      <c r="C427" s="7" t="s">
        <v>2224</v>
      </c>
      <c r="D427" s="7" t="s">
        <v>35</v>
      </c>
      <c r="E427" s="7" t="s">
        <v>28</v>
      </c>
      <c r="F427" s="7" t="s">
        <v>28</v>
      </c>
      <c r="G427" s="7"/>
      <c r="H427" s="7"/>
      <c r="I427" s="13" t="s">
        <v>36</v>
      </c>
      <c r="J427" s="13" t="str">
        <f t="shared" si="21"/>
        <v>2019</v>
      </c>
      <c r="K427" s="13"/>
      <c r="L427" s="13"/>
      <c r="M427" s="13" t="s">
        <v>37</v>
      </c>
      <c r="N427" s="13"/>
      <c r="O427" s="14" t="s">
        <v>2225</v>
      </c>
      <c r="P427" s="7" t="s">
        <v>2226</v>
      </c>
      <c r="Q427" s="7" t="s">
        <v>1374</v>
      </c>
      <c r="R427" s="7" t="s">
        <v>1375</v>
      </c>
      <c r="S427" s="7" t="s">
        <v>2227</v>
      </c>
      <c r="T427" s="7" t="s">
        <v>43</v>
      </c>
      <c r="U427" s="7">
        <v>17231756</v>
      </c>
      <c r="V427" s="7" t="str">
        <f t="shared" si="22"/>
        <v>09/26/2019</v>
      </c>
      <c r="W427" s="7" t="s">
        <v>44</v>
      </c>
      <c r="X427" s="7"/>
    </row>
    <row r="428" spans="1:24" hidden="1" x14ac:dyDescent="0.25">
      <c r="A428" t="s">
        <v>24</v>
      </c>
      <c r="B428" s="7" t="s">
        <v>1367</v>
      </c>
      <c r="C428" s="7" t="s">
        <v>2228</v>
      </c>
      <c r="D428" s="7" t="s">
        <v>35</v>
      </c>
      <c r="E428" s="7" t="s">
        <v>28</v>
      </c>
      <c r="F428" s="7" t="s">
        <v>28</v>
      </c>
      <c r="G428" s="7"/>
      <c r="H428" s="7"/>
      <c r="I428" s="13" t="s">
        <v>36</v>
      </c>
      <c r="J428" s="13" t="str">
        <f t="shared" si="21"/>
        <v>2019</v>
      </c>
      <c r="K428" s="13"/>
      <c r="L428" s="13"/>
      <c r="M428" s="13" t="s">
        <v>37</v>
      </c>
      <c r="N428" s="13"/>
      <c r="O428" s="14" t="s">
        <v>2229</v>
      </c>
      <c r="P428" s="7" t="s">
        <v>2230</v>
      </c>
      <c r="Q428" s="7" t="s">
        <v>1374</v>
      </c>
      <c r="R428" s="7" t="s">
        <v>1375</v>
      </c>
      <c r="S428" s="7" t="s">
        <v>2231</v>
      </c>
      <c r="T428" s="7" t="s">
        <v>43</v>
      </c>
      <c r="U428" s="7">
        <v>17231757</v>
      </c>
      <c r="V428" s="7" t="str">
        <f t="shared" si="22"/>
        <v>09/26/2019</v>
      </c>
      <c r="W428" s="7" t="s">
        <v>44</v>
      </c>
      <c r="X428" s="7" t="s">
        <v>2232</v>
      </c>
    </row>
    <row r="429" spans="1:24" hidden="1" x14ac:dyDescent="0.25">
      <c r="A429" t="s">
        <v>24</v>
      </c>
      <c r="B429" s="7" t="s">
        <v>1367</v>
      </c>
      <c r="C429" s="7" t="s">
        <v>2233</v>
      </c>
      <c r="D429" s="7" t="s">
        <v>35</v>
      </c>
      <c r="E429" s="7" t="s">
        <v>28</v>
      </c>
      <c r="F429" s="7" t="s">
        <v>28</v>
      </c>
      <c r="G429" s="7"/>
      <c r="H429" s="7"/>
      <c r="I429" s="13" t="s">
        <v>36</v>
      </c>
      <c r="J429" s="13" t="str">
        <f t="shared" si="21"/>
        <v>2019</v>
      </c>
      <c r="K429" s="13"/>
      <c r="L429" s="13"/>
      <c r="M429" s="13" t="s">
        <v>37</v>
      </c>
      <c r="N429" s="13"/>
      <c r="O429" s="14" t="s">
        <v>2234</v>
      </c>
      <c r="P429" s="7" t="s">
        <v>2235</v>
      </c>
      <c r="Q429" s="7" t="s">
        <v>1374</v>
      </c>
      <c r="R429" s="7" t="s">
        <v>1375</v>
      </c>
      <c r="S429" s="7" t="s">
        <v>2236</v>
      </c>
      <c r="T429" s="7" t="s">
        <v>43</v>
      </c>
      <c r="U429" s="7">
        <v>17231758</v>
      </c>
      <c r="V429" s="7" t="str">
        <f t="shared" si="22"/>
        <v>09/26/2019</v>
      </c>
      <c r="W429" s="7" t="s">
        <v>44</v>
      </c>
      <c r="X429" s="7" t="s">
        <v>2237</v>
      </c>
    </row>
    <row r="430" spans="1:24" hidden="1" x14ac:dyDescent="0.25">
      <c r="A430" t="s">
        <v>24</v>
      </c>
      <c r="B430" t="s">
        <v>1367</v>
      </c>
      <c r="C430" t="s">
        <v>2238</v>
      </c>
      <c r="D430" t="s">
        <v>35</v>
      </c>
      <c r="E430" t="s">
        <v>28</v>
      </c>
      <c r="F430" t="s">
        <v>28</v>
      </c>
      <c r="I430" s="3" t="s">
        <v>36</v>
      </c>
      <c r="J430" s="3" t="str">
        <f t="shared" si="21"/>
        <v>2019</v>
      </c>
      <c r="K430" s="3"/>
      <c r="L430" s="3" t="s">
        <v>37</v>
      </c>
      <c r="M430" s="1" t="s">
        <v>1352</v>
      </c>
      <c r="N430" s="3"/>
      <c r="O430" s="2" t="s">
        <v>2239</v>
      </c>
      <c r="P430" t="s">
        <v>2240</v>
      </c>
      <c r="Q430" t="s">
        <v>1374</v>
      </c>
      <c r="R430" t="s">
        <v>1375</v>
      </c>
      <c r="S430" t="s">
        <v>2241</v>
      </c>
      <c r="T430" t="s">
        <v>43</v>
      </c>
      <c r="U430">
        <v>17231760</v>
      </c>
      <c r="V430" t="str">
        <f t="shared" si="22"/>
        <v>09/26/2019</v>
      </c>
      <c r="W430" t="s">
        <v>44</v>
      </c>
    </row>
    <row r="431" spans="1:24" hidden="1" x14ac:dyDescent="0.25">
      <c r="A431" t="s">
        <v>24</v>
      </c>
      <c r="B431" t="s">
        <v>1367</v>
      </c>
      <c r="C431" t="s">
        <v>1497</v>
      </c>
      <c r="D431" t="s">
        <v>35</v>
      </c>
      <c r="E431" t="s">
        <v>28</v>
      </c>
      <c r="F431" t="s">
        <v>28</v>
      </c>
      <c r="I431" s="3" t="s">
        <v>2242</v>
      </c>
      <c r="J431" s="3" t="str">
        <f t="shared" si="21"/>
        <v>2020</v>
      </c>
      <c r="K431" s="3"/>
      <c r="L431" s="1" t="s">
        <v>1352</v>
      </c>
      <c r="M431" s="1" t="s">
        <v>2108</v>
      </c>
      <c r="N431" s="3"/>
      <c r="O431" s="2" t="s">
        <v>2243</v>
      </c>
      <c r="P431" t="s">
        <v>2244</v>
      </c>
      <c r="Q431" t="s">
        <v>1374</v>
      </c>
      <c r="R431" t="s">
        <v>1375</v>
      </c>
      <c r="S431" t="s">
        <v>2245</v>
      </c>
      <c r="T431" t="s">
        <v>43</v>
      </c>
      <c r="U431">
        <v>17231791</v>
      </c>
      <c r="V431" t="str">
        <f t="shared" si="22"/>
        <v>10/20/2020</v>
      </c>
      <c r="W431" t="s">
        <v>44</v>
      </c>
      <c r="X431" t="s">
        <v>2246</v>
      </c>
    </row>
    <row r="432" spans="1:24" x14ac:dyDescent="0.25">
      <c r="A432" t="s">
        <v>24</v>
      </c>
      <c r="B432" t="s">
        <v>1367</v>
      </c>
      <c r="C432" t="s">
        <v>2247</v>
      </c>
      <c r="D432" t="s">
        <v>35</v>
      </c>
      <c r="E432" t="s">
        <v>26</v>
      </c>
      <c r="F432" t="s">
        <v>26</v>
      </c>
      <c r="G432" t="s">
        <v>27</v>
      </c>
      <c r="H432" t="s">
        <v>28</v>
      </c>
      <c r="I432" s="3" t="s">
        <v>36</v>
      </c>
      <c r="J432" s="3" t="str">
        <f t="shared" si="21"/>
        <v>2019</v>
      </c>
      <c r="K432" s="3"/>
      <c r="L432" s="3"/>
      <c r="M432" s="3"/>
      <c r="N432" s="3"/>
      <c r="O432" s="2" t="s">
        <v>2248</v>
      </c>
      <c r="P432" t="s">
        <v>2249</v>
      </c>
      <c r="Q432" t="s">
        <v>1374</v>
      </c>
      <c r="R432" t="s">
        <v>1375</v>
      </c>
      <c r="S432" t="s">
        <v>2250</v>
      </c>
      <c r="T432" t="s">
        <v>43</v>
      </c>
      <c r="U432">
        <v>17231700</v>
      </c>
      <c r="V432" t="str">
        <f t="shared" si="22"/>
        <v>09/26/2019</v>
      </c>
      <c r="W432" t="s">
        <v>44</v>
      </c>
      <c r="X432" t="s">
        <v>2251</v>
      </c>
    </row>
    <row r="433" spans="1:24" x14ac:dyDescent="0.25">
      <c r="A433" t="s">
        <v>24</v>
      </c>
      <c r="B433" s="7" t="s">
        <v>1367</v>
      </c>
      <c r="C433" t="s">
        <v>2252</v>
      </c>
      <c r="D433" t="s">
        <v>35</v>
      </c>
      <c r="E433" t="s">
        <v>26</v>
      </c>
      <c r="F433" t="s">
        <v>26</v>
      </c>
      <c r="G433" t="s">
        <v>27</v>
      </c>
      <c r="H433" t="s">
        <v>28</v>
      </c>
      <c r="I433" s="3" t="s">
        <v>36</v>
      </c>
      <c r="J433" s="3" t="str">
        <f t="shared" si="21"/>
        <v>2019</v>
      </c>
      <c r="K433" s="3"/>
      <c r="L433" s="3"/>
      <c r="M433" s="3"/>
      <c r="N433" s="3"/>
      <c r="O433" s="2" t="s">
        <v>2253</v>
      </c>
      <c r="P433" t="s">
        <v>2254</v>
      </c>
      <c r="Q433" t="s">
        <v>1374</v>
      </c>
      <c r="R433" t="s">
        <v>1375</v>
      </c>
      <c r="S433" t="s">
        <v>2255</v>
      </c>
      <c r="T433" t="s">
        <v>43</v>
      </c>
      <c r="U433">
        <v>17231713</v>
      </c>
      <c r="V433" t="str">
        <f t="shared" si="22"/>
        <v>09/26/2019</v>
      </c>
      <c r="W433" t="s">
        <v>44</v>
      </c>
    </row>
    <row r="434" spans="1:24" x14ac:dyDescent="0.25">
      <c r="A434" t="s">
        <v>24</v>
      </c>
      <c r="B434" s="7" t="s">
        <v>1367</v>
      </c>
      <c r="C434" t="s">
        <v>2256</v>
      </c>
      <c r="D434" t="s">
        <v>107</v>
      </c>
      <c r="E434" t="s">
        <v>26</v>
      </c>
      <c r="F434" t="s">
        <v>26</v>
      </c>
      <c r="G434" t="s">
        <v>27</v>
      </c>
      <c r="H434" t="s">
        <v>28</v>
      </c>
      <c r="I434" s="3" t="s">
        <v>36</v>
      </c>
      <c r="J434" s="3" t="str">
        <f t="shared" si="21"/>
        <v>2019</v>
      </c>
      <c r="K434" s="3"/>
      <c r="L434" s="3"/>
      <c r="M434" s="3"/>
      <c r="N434" s="3"/>
      <c r="O434" s="2" t="s">
        <v>2257</v>
      </c>
      <c r="P434" t="s">
        <v>2258</v>
      </c>
      <c r="Q434" t="s">
        <v>1374</v>
      </c>
      <c r="R434" t="s">
        <v>1375</v>
      </c>
      <c r="S434" t="s">
        <v>2259</v>
      </c>
      <c r="T434" t="s">
        <v>43</v>
      </c>
      <c r="U434">
        <v>17231734</v>
      </c>
      <c r="V434" t="str">
        <f t="shared" si="22"/>
        <v>09/26/2019</v>
      </c>
      <c r="W434" t="s">
        <v>44</v>
      </c>
      <c r="X434" t="s">
        <v>2260</v>
      </c>
    </row>
    <row r="435" spans="1:24" x14ac:dyDescent="0.25">
      <c r="A435" t="s">
        <v>24</v>
      </c>
      <c r="B435" t="s">
        <v>1367</v>
      </c>
      <c r="C435" t="s">
        <v>2261</v>
      </c>
      <c r="D435" t="s">
        <v>35</v>
      </c>
      <c r="E435" t="s">
        <v>26</v>
      </c>
      <c r="F435" t="s">
        <v>26</v>
      </c>
      <c r="G435" t="s">
        <v>27</v>
      </c>
      <c r="H435" t="s">
        <v>28</v>
      </c>
      <c r="I435" s="3" t="s">
        <v>36</v>
      </c>
      <c r="J435" s="3" t="str">
        <f t="shared" si="21"/>
        <v>2019</v>
      </c>
      <c r="K435" s="3"/>
      <c r="L435" s="3"/>
      <c r="M435" s="3"/>
      <c r="N435" s="3"/>
      <c r="O435" s="2" t="s">
        <v>2262</v>
      </c>
      <c r="P435" t="s">
        <v>2263</v>
      </c>
      <c r="Q435" t="s">
        <v>1374</v>
      </c>
      <c r="R435" t="s">
        <v>1375</v>
      </c>
      <c r="S435" t="s">
        <v>2264</v>
      </c>
      <c r="T435" t="s">
        <v>43</v>
      </c>
      <c r="U435">
        <v>17231739</v>
      </c>
      <c r="V435" t="str">
        <f t="shared" si="22"/>
        <v>09/26/2019</v>
      </c>
      <c r="W435" t="s">
        <v>44</v>
      </c>
    </row>
    <row r="436" spans="1:24" x14ac:dyDescent="0.25">
      <c r="A436" t="s">
        <v>24</v>
      </c>
      <c r="B436" t="s">
        <v>1367</v>
      </c>
      <c r="C436" t="s">
        <v>2265</v>
      </c>
      <c r="D436" t="s">
        <v>35</v>
      </c>
      <c r="E436" t="s">
        <v>26</v>
      </c>
      <c r="F436" t="s">
        <v>26</v>
      </c>
      <c r="G436" t="s">
        <v>27</v>
      </c>
      <c r="H436" t="s">
        <v>28</v>
      </c>
      <c r="I436" s="3" t="s">
        <v>36</v>
      </c>
      <c r="J436" s="3" t="str">
        <f t="shared" si="21"/>
        <v>2019</v>
      </c>
      <c r="K436" s="3"/>
      <c r="L436" s="3"/>
      <c r="M436" s="3"/>
      <c r="N436" s="3"/>
      <c r="O436" s="2" t="s">
        <v>2266</v>
      </c>
      <c r="P436" t="s">
        <v>2267</v>
      </c>
      <c r="Q436" t="s">
        <v>1374</v>
      </c>
      <c r="R436" t="s">
        <v>1375</v>
      </c>
      <c r="S436" t="s">
        <v>2268</v>
      </c>
      <c r="T436" t="s">
        <v>43</v>
      </c>
      <c r="U436">
        <v>17231750</v>
      </c>
      <c r="V436" t="str">
        <f t="shared" si="22"/>
        <v>09/26/2019</v>
      </c>
      <c r="W436" t="s">
        <v>44</v>
      </c>
      <c r="X436" t="s">
        <v>2269</v>
      </c>
    </row>
    <row r="437" spans="1:24" hidden="1" x14ac:dyDescent="0.25">
      <c r="A437" t="s">
        <v>24</v>
      </c>
      <c r="B437" t="s">
        <v>1367</v>
      </c>
      <c r="C437" t="s">
        <v>2270</v>
      </c>
      <c r="D437" t="s">
        <v>35</v>
      </c>
      <c r="E437" t="s">
        <v>28</v>
      </c>
      <c r="F437" t="s">
        <v>28</v>
      </c>
      <c r="I437" s="3" t="s">
        <v>2271</v>
      </c>
      <c r="J437" s="3" t="str">
        <f t="shared" si="21"/>
        <v>2021</v>
      </c>
      <c r="K437" s="3"/>
      <c r="L437" s="3" t="s">
        <v>37</v>
      </c>
      <c r="M437" s="1" t="s">
        <v>2272</v>
      </c>
      <c r="N437" s="3"/>
      <c r="O437" s="2" t="s">
        <v>2273</v>
      </c>
      <c r="P437" t="s">
        <v>2274</v>
      </c>
      <c r="Q437" t="s">
        <v>1374</v>
      </c>
      <c r="R437" t="s">
        <v>1375</v>
      </c>
      <c r="S437" t="s">
        <v>2275</v>
      </c>
      <c r="T437" t="s">
        <v>43</v>
      </c>
      <c r="U437">
        <v>17231829</v>
      </c>
      <c r="V437" t="str">
        <f t="shared" si="22"/>
        <v>05/21/2021</v>
      </c>
      <c r="W437" t="s">
        <v>44</v>
      </c>
    </row>
    <row r="438" spans="1:24" x14ac:dyDescent="0.25">
      <c r="A438" t="s">
        <v>24</v>
      </c>
      <c r="B438" t="s">
        <v>1367</v>
      </c>
      <c r="C438" t="s">
        <v>2276</v>
      </c>
      <c r="D438" t="s">
        <v>35</v>
      </c>
      <c r="E438" t="s">
        <v>26</v>
      </c>
      <c r="F438" t="s">
        <v>26</v>
      </c>
      <c r="G438" t="s">
        <v>27</v>
      </c>
      <c r="H438" t="s">
        <v>28</v>
      </c>
      <c r="I438" s="3" t="s">
        <v>36</v>
      </c>
      <c r="J438" s="3" t="str">
        <f t="shared" si="21"/>
        <v>2019</v>
      </c>
      <c r="K438" s="3"/>
      <c r="L438" s="3"/>
      <c r="M438" s="3"/>
      <c r="N438" s="3"/>
      <c r="O438" s="2" t="s">
        <v>2277</v>
      </c>
      <c r="P438" t="s">
        <v>2278</v>
      </c>
      <c r="Q438" t="s">
        <v>1374</v>
      </c>
      <c r="R438" t="s">
        <v>1375</v>
      </c>
      <c r="S438" t="s">
        <v>2279</v>
      </c>
      <c r="T438" t="s">
        <v>43</v>
      </c>
      <c r="U438">
        <v>17231755</v>
      </c>
      <c r="V438" t="str">
        <f t="shared" si="22"/>
        <v>09/26/2019</v>
      </c>
      <c r="W438" t="s">
        <v>44</v>
      </c>
    </row>
    <row r="439" spans="1:24" hidden="1" x14ac:dyDescent="0.25">
      <c r="A439" t="s">
        <v>24</v>
      </c>
      <c r="B439" s="17" t="s">
        <v>1007</v>
      </c>
      <c r="C439" s="17" t="s">
        <v>2280</v>
      </c>
      <c r="D439" s="17" t="s">
        <v>107</v>
      </c>
      <c r="E439" s="17" t="s">
        <v>28</v>
      </c>
      <c r="F439" s="17" t="s">
        <v>28</v>
      </c>
      <c r="G439" s="17" t="s">
        <v>1009</v>
      </c>
      <c r="H439" s="17" t="s">
        <v>280</v>
      </c>
      <c r="I439" s="18" t="s">
        <v>36</v>
      </c>
      <c r="J439" s="18" t="str">
        <f t="shared" si="21"/>
        <v>2019</v>
      </c>
      <c r="K439" s="18"/>
      <c r="L439" s="18" t="s">
        <v>37</v>
      </c>
      <c r="M439" s="18" t="s">
        <v>37</v>
      </c>
      <c r="N439" s="18"/>
      <c r="O439" s="19" t="s">
        <v>2281</v>
      </c>
      <c r="P439" s="17" t="s">
        <v>2282</v>
      </c>
      <c r="Q439" s="17" t="s">
        <v>1013</v>
      </c>
      <c r="R439" s="17" t="s">
        <v>1014</v>
      </c>
      <c r="S439" s="17" t="s">
        <v>2283</v>
      </c>
      <c r="T439" s="17" t="s">
        <v>43</v>
      </c>
      <c r="U439" s="17">
        <v>84520</v>
      </c>
      <c r="V439" s="17" t="str">
        <f t="shared" si="22"/>
        <v>09/26/2019</v>
      </c>
      <c r="W439" s="17" t="s">
        <v>44</v>
      </c>
      <c r="X439" s="17"/>
    </row>
    <row r="440" spans="1:24" hidden="1" x14ac:dyDescent="0.25">
      <c r="A440" t="s">
        <v>24</v>
      </c>
      <c r="B440" t="s">
        <v>1367</v>
      </c>
      <c r="C440" t="s">
        <v>2284</v>
      </c>
      <c r="D440" t="s">
        <v>35</v>
      </c>
      <c r="E440" t="s">
        <v>28</v>
      </c>
      <c r="F440" t="s">
        <v>28</v>
      </c>
      <c r="I440" s="3" t="s">
        <v>2285</v>
      </c>
      <c r="J440" s="3" t="str">
        <f t="shared" si="21"/>
        <v>2021</v>
      </c>
      <c r="K440" s="3"/>
      <c r="L440" s="3" t="s">
        <v>37</v>
      </c>
      <c r="M440" s="1" t="s">
        <v>2108</v>
      </c>
      <c r="N440" s="3"/>
      <c r="O440" s="2" t="s">
        <v>2286</v>
      </c>
      <c r="P440" t="s">
        <v>2287</v>
      </c>
      <c r="Q440" t="s">
        <v>1374</v>
      </c>
      <c r="R440" t="s">
        <v>1375</v>
      </c>
      <c r="S440" t="s">
        <v>2288</v>
      </c>
      <c r="T440" t="s">
        <v>43</v>
      </c>
      <c r="U440">
        <v>17231830</v>
      </c>
      <c r="V440" t="str">
        <f t="shared" si="22"/>
        <v>07/20/2021</v>
      </c>
      <c r="W440" t="s">
        <v>44</v>
      </c>
    </row>
    <row r="441" spans="1:24" hidden="1" x14ac:dyDescent="0.25">
      <c r="A441" t="s">
        <v>24</v>
      </c>
      <c r="B441" t="s">
        <v>1367</v>
      </c>
      <c r="C441" t="s">
        <v>2289</v>
      </c>
      <c r="D441" t="s">
        <v>35</v>
      </c>
      <c r="E441" t="s">
        <v>28</v>
      </c>
      <c r="F441" t="s">
        <v>28</v>
      </c>
      <c r="I441" s="3" t="s">
        <v>2290</v>
      </c>
      <c r="J441" s="3" t="str">
        <f t="shared" si="21"/>
        <v>2021</v>
      </c>
      <c r="K441" s="3" t="s">
        <v>1387</v>
      </c>
      <c r="L441" s="12" t="s">
        <v>71</v>
      </c>
      <c r="M441" s="1" t="s">
        <v>2291</v>
      </c>
      <c r="N441" s="3" t="s">
        <v>2109</v>
      </c>
      <c r="O441" s="2" t="s">
        <v>2292</v>
      </c>
      <c r="P441" t="s">
        <v>2293</v>
      </c>
      <c r="Q441" t="s">
        <v>1374</v>
      </c>
      <c r="R441" t="s">
        <v>1375</v>
      </c>
      <c r="S441" t="s">
        <v>2294</v>
      </c>
      <c r="T441" t="s">
        <v>43</v>
      </c>
      <c r="U441">
        <v>17231848</v>
      </c>
      <c r="V441" t="str">
        <f t="shared" si="22"/>
        <v>10/06/2021</v>
      </c>
      <c r="W441" t="s">
        <v>44</v>
      </c>
      <c r="X441" t="s">
        <v>2295</v>
      </c>
    </row>
    <row r="442" spans="1:24" hidden="1" x14ac:dyDescent="0.25">
      <c r="A442" t="s">
        <v>24</v>
      </c>
      <c r="B442" t="s">
        <v>1367</v>
      </c>
      <c r="C442" t="s">
        <v>1732</v>
      </c>
      <c r="D442" t="s">
        <v>35</v>
      </c>
      <c r="E442" t="s">
        <v>28</v>
      </c>
      <c r="F442" t="s">
        <v>28</v>
      </c>
      <c r="I442" s="3" t="s">
        <v>2296</v>
      </c>
      <c r="J442" s="3" t="str">
        <f t="shared" si="21"/>
        <v>2022</v>
      </c>
      <c r="K442" s="3"/>
      <c r="L442" s="3" t="s">
        <v>37</v>
      </c>
      <c r="M442" s="1" t="s">
        <v>2297</v>
      </c>
      <c r="N442" s="3"/>
      <c r="O442" s="2" t="s">
        <v>2298</v>
      </c>
      <c r="P442" t="s">
        <v>2299</v>
      </c>
      <c r="Q442" t="s">
        <v>1374</v>
      </c>
      <c r="R442" t="s">
        <v>1375</v>
      </c>
      <c r="S442" t="s">
        <v>2300</v>
      </c>
      <c r="T442" t="s">
        <v>43</v>
      </c>
      <c r="U442">
        <v>17231860</v>
      </c>
      <c r="V442" t="str">
        <f t="shared" si="22"/>
        <v>12/05/2022</v>
      </c>
      <c r="W442" t="s">
        <v>44</v>
      </c>
    </row>
    <row r="443" spans="1:24" x14ac:dyDescent="0.25">
      <c r="A443" t="s">
        <v>24</v>
      </c>
      <c r="B443" s="17" t="s">
        <v>1007</v>
      </c>
      <c r="C443" s="17" t="s">
        <v>2301</v>
      </c>
      <c r="D443" s="17" t="s">
        <v>107</v>
      </c>
      <c r="E443" s="17" t="s">
        <v>26</v>
      </c>
      <c r="F443" s="17" t="s">
        <v>28</v>
      </c>
      <c r="G443" s="17" t="s">
        <v>1009</v>
      </c>
      <c r="H443" s="17" t="s">
        <v>280</v>
      </c>
      <c r="I443" s="18" t="s">
        <v>2302</v>
      </c>
      <c r="J443" s="18" t="str">
        <f t="shared" si="21"/>
        <v>2019</v>
      </c>
      <c r="K443" s="18"/>
      <c r="L443" s="18" t="s">
        <v>37</v>
      </c>
      <c r="M443" s="18" t="s">
        <v>37</v>
      </c>
      <c r="N443" s="18"/>
      <c r="O443" s="19" t="s">
        <v>2303</v>
      </c>
      <c r="P443" s="17" t="s">
        <v>2304</v>
      </c>
      <c r="Q443" s="17" t="s">
        <v>1013</v>
      </c>
      <c r="R443" s="17" t="s">
        <v>1014</v>
      </c>
      <c r="S443" s="17" t="s">
        <v>2305</v>
      </c>
      <c r="T443" s="17" t="s">
        <v>43</v>
      </c>
      <c r="U443" s="17">
        <v>84577</v>
      </c>
      <c r="V443" s="17" t="str">
        <f t="shared" si="22"/>
        <v>10/17/2019</v>
      </c>
      <c r="W443" s="17" t="s">
        <v>44</v>
      </c>
      <c r="X443" s="17"/>
    </row>
    <row r="444" spans="1:24" hidden="1" x14ac:dyDescent="0.25">
      <c r="A444" t="s">
        <v>24</v>
      </c>
      <c r="B444" s="24" t="s">
        <v>1367</v>
      </c>
      <c r="C444" t="s">
        <v>2306</v>
      </c>
      <c r="D444" t="s">
        <v>35</v>
      </c>
      <c r="E444" t="s">
        <v>28</v>
      </c>
      <c r="F444" t="s">
        <v>28</v>
      </c>
      <c r="G444" t="s">
        <v>1301</v>
      </c>
      <c r="H444" t="s">
        <v>26</v>
      </c>
      <c r="I444" s="3">
        <v>45946</v>
      </c>
      <c r="J444" s="25">
        <v>2025</v>
      </c>
      <c r="K444" s="25"/>
      <c r="L444" s="1" t="s">
        <v>2307</v>
      </c>
      <c r="M444" s="1" t="s">
        <v>2308</v>
      </c>
      <c r="N444" s="3"/>
      <c r="O444" s="2"/>
      <c r="V444" t="e">
        <f t="shared" si="22"/>
        <v>#VALUE!</v>
      </c>
    </row>
    <row r="445" spans="1:24" x14ac:dyDescent="0.25">
      <c r="A445" t="s">
        <v>24</v>
      </c>
      <c r="B445" s="17" t="s">
        <v>1007</v>
      </c>
      <c r="C445" s="17" t="s">
        <v>2310</v>
      </c>
      <c r="D445" s="17" t="s">
        <v>107</v>
      </c>
      <c r="E445" s="17" t="s">
        <v>26</v>
      </c>
      <c r="F445" s="17" t="s">
        <v>28</v>
      </c>
      <c r="G445" s="17" t="s">
        <v>1009</v>
      </c>
      <c r="H445" s="17" t="s">
        <v>280</v>
      </c>
      <c r="I445" s="18" t="s">
        <v>36</v>
      </c>
      <c r="J445" s="18" t="str">
        <f>RIGHT(I445,4)</f>
        <v>2019</v>
      </c>
      <c r="K445" s="18"/>
      <c r="L445" s="18" t="s">
        <v>37</v>
      </c>
      <c r="M445" s="18" t="s">
        <v>37</v>
      </c>
      <c r="N445" s="18"/>
      <c r="O445" s="19" t="s">
        <v>2311</v>
      </c>
      <c r="P445" s="17" t="s">
        <v>2312</v>
      </c>
      <c r="Q445" s="17" t="s">
        <v>1013</v>
      </c>
      <c r="R445" s="17" t="s">
        <v>1014</v>
      </c>
      <c r="S445" s="17" t="s">
        <v>2313</v>
      </c>
      <c r="T445" s="17" t="s">
        <v>43</v>
      </c>
      <c r="U445" s="17">
        <v>84536</v>
      </c>
      <c r="V445" s="17" t="str">
        <f t="shared" si="22"/>
        <v>09/26/2019</v>
      </c>
      <c r="W445" s="17" t="s">
        <v>44</v>
      </c>
      <c r="X445" s="17"/>
    </row>
    <row r="446" spans="1:24" x14ac:dyDescent="0.25">
      <c r="A446" t="s">
        <v>24</v>
      </c>
      <c r="B446" s="17" t="s">
        <v>1007</v>
      </c>
      <c r="C446" s="17" t="s">
        <v>2314</v>
      </c>
      <c r="D446" s="17" t="s">
        <v>107</v>
      </c>
      <c r="E446" s="17" t="s">
        <v>26</v>
      </c>
      <c r="F446" s="17" t="s">
        <v>28</v>
      </c>
      <c r="G446" s="17" t="s">
        <v>1009</v>
      </c>
      <c r="H446" s="17" t="s">
        <v>280</v>
      </c>
      <c r="I446" s="18" t="s">
        <v>1222</v>
      </c>
      <c r="J446" s="18" t="str">
        <f>RIGHT(I446,4)</f>
        <v>2019</v>
      </c>
      <c r="K446" s="18"/>
      <c r="L446" s="18" t="s">
        <v>37</v>
      </c>
      <c r="M446" s="18" t="s">
        <v>37</v>
      </c>
      <c r="N446" s="18"/>
      <c r="O446" s="19" t="s">
        <v>2315</v>
      </c>
      <c r="P446" s="17" t="s">
        <v>2316</v>
      </c>
      <c r="Q446" s="17" t="s">
        <v>1013</v>
      </c>
      <c r="R446" s="17" t="s">
        <v>1014</v>
      </c>
      <c r="S446" s="17" t="s">
        <v>2317</v>
      </c>
      <c r="T446" s="17" t="s">
        <v>43</v>
      </c>
      <c r="U446" s="17">
        <v>84599</v>
      </c>
      <c r="V446" s="17" t="str">
        <f t="shared" si="22"/>
        <v>11/04/2019</v>
      </c>
      <c r="W446" s="17" t="s">
        <v>44</v>
      </c>
      <c r="X446" s="17"/>
    </row>
    <row r="447" spans="1:24" hidden="1" x14ac:dyDescent="0.25">
      <c r="B447" t="s">
        <v>2318</v>
      </c>
      <c r="C447" t="s">
        <v>2319</v>
      </c>
      <c r="D447" t="s">
        <v>35</v>
      </c>
      <c r="E447" t="s">
        <v>28</v>
      </c>
      <c r="F447" t="s">
        <v>28</v>
      </c>
      <c r="G447" t="s">
        <v>1301</v>
      </c>
      <c r="H447" s="3" t="s">
        <v>26</v>
      </c>
      <c r="I447" s="3" t="s">
        <v>2320</v>
      </c>
      <c r="J447" s="3" t="str">
        <f>RIGHT(I447,4)</f>
        <v>2022</v>
      </c>
      <c r="K447" s="3"/>
      <c r="L447" s="3" t="s">
        <v>37</v>
      </c>
      <c r="M447" s="3" t="s">
        <v>2321</v>
      </c>
      <c r="N447" s="2"/>
      <c r="O447" t="s">
        <v>2322</v>
      </c>
      <c r="P447" t="s">
        <v>2323</v>
      </c>
      <c r="Q447" t="s">
        <v>2324</v>
      </c>
      <c r="R447" t="s">
        <v>2325</v>
      </c>
      <c r="S447" t="s">
        <v>2326</v>
      </c>
      <c r="T447" t="s">
        <v>43</v>
      </c>
      <c r="U447">
        <v>122340</v>
      </c>
      <c r="V447" t="str">
        <f t="shared" si="22"/>
        <v>03/02/2022</v>
      </c>
      <c r="W447" t="s">
        <v>44</v>
      </c>
    </row>
    <row r="448" spans="1:24" hidden="1" x14ac:dyDescent="0.25">
      <c r="B448" t="s">
        <v>365</v>
      </c>
      <c r="C448" s="35" t="s">
        <v>2327</v>
      </c>
      <c r="D448" t="s">
        <v>107</v>
      </c>
      <c r="E448" t="s">
        <v>2338</v>
      </c>
      <c r="F448" t="s">
        <v>28</v>
      </c>
      <c r="I448" s="3"/>
      <c r="J448" s="25" t="str">
        <f>RIGHT(I448,4)</f>
        <v/>
      </c>
      <c r="K448" s="12" t="s">
        <v>417</v>
      </c>
      <c r="L448" s="8" t="s">
        <v>2328</v>
      </c>
      <c r="M448" s="8" t="s">
        <v>2329</v>
      </c>
      <c r="N448" s="3"/>
      <c r="O448" s="2"/>
      <c r="V448" t="e">
        <f t="shared" si="22"/>
        <v>#VALUE!</v>
      </c>
    </row>
  </sheetData>
  <dataValidations count="5">
    <dataValidation type="list" allowBlank="1" showInputMessage="1" showErrorMessage="1" sqref="D174:D181 D2:D120 D122:D131 D437:D446 D183:D234 D255:D258 D260:D270 D272:D291 D236:D253 D413:D435 D367:D411 D364:D365 D296 D133:D135 D307:D362 D448" xr:uid="{2E970ED2-EFEE-48CC-97C4-5851DD29CAD7}">
      <formula1>"TFVC,Git"</formula1>
    </dataValidation>
    <dataValidation type="list" allowBlank="1" showInputMessage="1" showErrorMessage="1" sqref="F233:F1048576 E232:F232 F1:F231 E2:E231 E233:E446" xr:uid="{44E50ED2-6824-4A13-8FB3-39880372A8A7}">
      <formula1>"Yes,No"</formula1>
    </dataValidation>
    <dataValidation allowBlank="1" showInputMessage="1" showErrorMessage="1" sqref="H1 H447:H1048576" xr:uid="{44F58ED9-87F8-4032-ACD8-155230051225}"/>
    <dataValidation type="list" allowBlank="1" showInputMessage="1" showErrorMessage="1" sqref="G2:G1048576" xr:uid="{5FD556F5-5401-4542-ACEE-261F1381F833}">
      <formula1>"MDR,CBI,Lummus,NA"</formula1>
    </dataValidation>
    <dataValidation type="list" allowBlank="1" showInputMessage="1" showErrorMessage="1" sqref="H2:H446" xr:uid="{8134A58E-E97C-4A34-A26B-1C765B63D30B}">
      <formula1>"Yes,No,Pending"</formula1>
    </dataValidation>
  </dataValidations>
  <hyperlinks>
    <hyperlink ref="Q196" r:id="rId1" xr:uid="{6268F821-14A5-4F23-B3D5-7BB795C5B4E8}"/>
    <hyperlink ref="P196" r:id="rId2" xr:uid="{4906AC70-1E6F-490E-B78F-967D9A1B38D1}"/>
    <hyperlink ref="M198" r:id="rId3" xr:uid="{70132313-26C7-4B8A-9CD9-AC4990B811DE}"/>
    <hyperlink ref="M211" r:id="rId4" xr:uid="{BCE27C19-F64B-4207-8679-C37E46F418E0}"/>
    <hyperlink ref="M217" r:id="rId5" xr:uid="{798CCA15-8C29-40A4-9DFF-A4D7E2484931}"/>
    <hyperlink ref="M221" r:id="rId6" xr:uid="{C24799FB-292E-4FA5-9537-8A53C2D86FE1}"/>
    <hyperlink ref="M109" r:id="rId7" xr:uid="{57BD10DB-E122-4B30-BECC-5FD300FB65F6}"/>
    <hyperlink ref="M111" r:id="rId8" xr:uid="{D935DD91-12E4-4D1E-A43E-4F3981DA497C}"/>
    <hyperlink ref="M112" r:id="rId9" xr:uid="{6005A903-3C4B-469E-A29C-AA4B67C0F0F4}"/>
    <hyperlink ref="M114" r:id="rId10" xr:uid="{913C72DF-0E70-42A7-99B5-AC2BE34B6FFF}"/>
    <hyperlink ref="M115" r:id="rId11" xr:uid="{EFE4BF0D-6912-49E3-84FD-762B4F378C03}"/>
    <hyperlink ref="M118" r:id="rId12" xr:uid="{3EDFA63D-2EC0-45A0-B6F7-82187DB73CE8}"/>
    <hyperlink ref="M119" r:id="rId13" xr:uid="{00A60465-BDEB-4434-8FD4-97E1EF11724D}"/>
    <hyperlink ref="M121" r:id="rId14" xr:uid="{A46C5D82-367C-4627-9097-7BAFE052187E}"/>
    <hyperlink ref="M122" r:id="rId15" xr:uid="{96F3C933-5026-4907-BE96-C520F01775B4}"/>
    <hyperlink ref="M123" r:id="rId16" xr:uid="{7C9A74A6-7B7D-423E-93AD-BC41618CC4C3}"/>
    <hyperlink ref="M124" r:id="rId17" xr:uid="{CD7EA0F4-2D51-4433-BB99-F56BC7F39C4A}"/>
    <hyperlink ref="M125" r:id="rId18" xr:uid="{1F10FA25-C190-4B38-8B7C-2B56B2068884}"/>
    <hyperlink ref="M126" r:id="rId19" xr:uid="{D99B5C63-3F98-44CE-A430-E878486468C6}"/>
    <hyperlink ref="M127" r:id="rId20" xr:uid="{0F7F8CAC-961B-48DF-A5A4-82ACD15F7EE9}"/>
    <hyperlink ref="M44" r:id="rId21" xr:uid="{A2A5E542-5E56-410A-88A0-1F15409C63A1}"/>
    <hyperlink ref="M41" r:id="rId22" xr:uid="{B3EFF447-860E-4173-B72A-737B69754FD1}"/>
    <hyperlink ref="M150" r:id="rId23" xr:uid="{1904A4F8-1EF4-4EAF-BEDD-C1B50B03B36F}"/>
    <hyperlink ref="M152" r:id="rId24" xr:uid="{3FDC62D1-4CDF-45A0-A431-0B930727794C}"/>
    <hyperlink ref="M190" r:id="rId25" xr:uid="{00250C7B-40B1-4597-88DE-91B70AEC4385}"/>
    <hyperlink ref="M151" r:id="rId26" xr:uid="{20AE2948-AD67-4870-A9CA-C8D72D755CDC}"/>
    <hyperlink ref="M153" r:id="rId27" xr:uid="{70EC7869-1107-4A84-990D-342F90316B0C}"/>
    <hyperlink ref="M191" r:id="rId28" xr:uid="{0951C7C2-B7F4-4380-AF89-47E63B0BA305}"/>
    <hyperlink ref="M165" r:id="rId29" xr:uid="{2EA3EAE8-2BE9-4428-A2E7-849DC7DB2033}"/>
    <hyperlink ref="M166" r:id="rId30" xr:uid="{5B2AB9BF-FC1E-4E2E-B2FB-CD649741B784}"/>
    <hyperlink ref="M167" r:id="rId31" xr:uid="{5B655BAA-02C5-4F0A-B8AA-2C2B6042ADAC}"/>
    <hyperlink ref="M149" r:id="rId32" xr:uid="{64CC74A9-520A-48F4-BE1E-C6EC50D5877D}"/>
    <hyperlink ref="M155" r:id="rId33" xr:uid="{8534901D-E7A1-4FA9-ABE8-7CBDA5962498}"/>
    <hyperlink ref="M192" r:id="rId34" xr:uid="{E745DAD7-E19A-45B1-BED3-C89768A2E1CB}"/>
    <hyperlink ref="M283" r:id="rId35" xr:uid="{14EA0D7D-4F2D-4FA3-AC7A-13535D668E5C}"/>
    <hyperlink ref="M363" r:id="rId36" xr:uid="{C5DF9751-84A3-441B-85A5-67054D233E78}"/>
    <hyperlink ref="M365" r:id="rId37" xr:uid="{D0429A1C-4914-4360-97F6-DA7006822989}"/>
    <hyperlink ref="M367" r:id="rId38" xr:uid="{24FFB316-DE3A-4823-80AA-51FD06AF3A0F}"/>
    <hyperlink ref="M369" r:id="rId39" xr:uid="{5304B21F-1594-48AB-97E8-69CE769B65DF}"/>
    <hyperlink ref="M370" r:id="rId40" xr:uid="{8B733B86-4A07-4AA4-9A69-B91512FBC6C4}"/>
    <hyperlink ref="M378" r:id="rId41" xr:uid="{D92906F3-C88D-4ADC-B52A-30EF3E522F53}"/>
    <hyperlink ref="M379" r:id="rId42" xr:uid="{7E5FB27F-3E5F-4960-8BA2-A57106DD70EF}"/>
    <hyperlink ref="M380" r:id="rId43" xr:uid="{F21A19E4-1A8A-4724-B344-3F89C1A689E0}"/>
    <hyperlink ref="M381" r:id="rId44" xr:uid="{BE1507BB-A7CB-48A2-AE67-F35194B23F07}"/>
    <hyperlink ref="M383" r:id="rId45" xr:uid="{0FCDC3CE-7706-40B5-BB75-D89927D352E0}"/>
    <hyperlink ref="M384" r:id="rId46" xr:uid="{8196D1F3-5D9E-4CA1-BDB4-7AE39707F326}"/>
    <hyperlink ref="M423" r:id="rId47" xr:uid="{398BB3C5-4439-4451-843D-D9AC2EBBEAFD}"/>
    <hyperlink ref="M430" r:id="rId48" xr:uid="{EF5B7CB4-2E4D-4688-AD58-38B3BC1A62AB}"/>
    <hyperlink ref="M385" r:id="rId49" xr:uid="{FC2A3BBD-4074-4F07-B703-28403A7B195D}"/>
    <hyperlink ref="M389" r:id="rId50" xr:uid="{076A21D2-BE56-48EA-839F-9840732A1906}"/>
    <hyperlink ref="M394" r:id="rId51" xr:uid="{EDF4C395-601B-4FDA-B67D-2414FFE380B1}"/>
    <hyperlink ref="M395" r:id="rId52" xr:uid="{8ADEEC79-F0E1-4AA6-8B4C-EDD4286B2D49}"/>
    <hyperlink ref="M410" r:id="rId53" xr:uid="{7D481BF2-26EC-42F5-8177-90806A595C2D}"/>
    <hyperlink ref="M402" r:id="rId54" xr:uid="{AE9CEB8C-EA20-4730-BF54-549812BA67C7}"/>
    <hyperlink ref="M397" r:id="rId55" xr:uid="{4B7E7C2E-AB62-4AEE-9E9F-BA6C56E6BB6A}"/>
    <hyperlink ref="M406" r:id="rId56" xr:uid="{43820A21-3FD7-4107-A263-42FEA33DE620}"/>
    <hyperlink ref="M408" r:id="rId57" xr:uid="{FF467951-3EA7-42C3-840E-FE48A2F3A246}"/>
    <hyperlink ref="M412" r:id="rId58" xr:uid="{75F6701A-0F88-4FA3-8505-82C5E9E15D9A}"/>
    <hyperlink ref="M414" r:id="rId59" xr:uid="{F2E0930E-7F32-4CD3-BDBD-78E2FB04CEC5}"/>
    <hyperlink ref="M416" r:id="rId60" xr:uid="{7F55E83B-8A82-4CBD-9AEF-1D5AC83D6C17}"/>
    <hyperlink ref="M419" r:id="rId61" xr:uid="{BB4D71B0-E84C-4E01-9789-BD0B38C1CF1A}"/>
    <hyperlink ref="M421" r:id="rId62" xr:uid="{97E8BA1B-CBE1-46AB-B3D5-456DD0E1974D}"/>
    <hyperlink ref="M8" r:id="rId63" xr:uid="{8CBE3276-C266-46E4-AC3F-F9D8BCD7BC48}"/>
    <hyperlink ref="M10" r:id="rId64" xr:uid="{1E6B886C-B51D-44FA-AE00-AF7A238CA620}"/>
    <hyperlink ref="M17" r:id="rId65" xr:uid="{8076526B-1728-475C-BF85-D1CA178B1D53}"/>
    <hyperlink ref="M21" r:id="rId66" xr:uid="{7EE5A4E3-9DC5-441A-848E-8F9B13DB1E8A}"/>
    <hyperlink ref="M23" r:id="rId67" xr:uid="{59FE79C9-AC62-4A40-B495-E8FD8FE9FF20}"/>
    <hyperlink ref="M24" r:id="rId68" xr:uid="{A7B7F59B-E1A4-41CD-BD6A-94D182DF6D88}"/>
    <hyperlink ref="M25" r:id="rId69" xr:uid="{04B8A57F-B347-4E54-B015-D79CAE12A267}"/>
    <hyperlink ref="M27" r:id="rId70" xr:uid="{34E70BDD-29F8-4864-9DE7-D9ACC49FAE36}"/>
    <hyperlink ref="M28" r:id="rId71" xr:uid="{FBD5EE7D-4915-4F8C-A75A-6F351D7161D3}"/>
    <hyperlink ref="M47" r:id="rId72" xr:uid="{5C0C48D5-2D99-4559-8103-F16C8DF0ECB4}"/>
    <hyperlink ref="M46" r:id="rId73" xr:uid="{1538780F-173E-4DEC-ADFD-7EDDD48E03F0}"/>
    <hyperlink ref="M49" r:id="rId74" xr:uid="{96AA1107-51DF-4450-80DD-36C05A5494E8}"/>
    <hyperlink ref="M31" r:id="rId75" xr:uid="{FC9B3337-3DE3-4EFC-8C35-7A956FF5B6B5}"/>
    <hyperlink ref="M32" r:id="rId76" xr:uid="{F6BCDF79-1392-4574-ADA7-B6229BDD1978}"/>
    <hyperlink ref="M33" r:id="rId77" xr:uid="{F8B357DB-548C-400E-AFB6-84FCC18FD422}"/>
    <hyperlink ref="M34" r:id="rId78" xr:uid="{9D6E8923-5512-4183-BB93-578B1195376D}"/>
    <hyperlink ref="M35" r:id="rId79" xr:uid="{5D1A5378-B504-471C-A32B-16BB05B8CD6C}"/>
    <hyperlink ref="M128" r:id="rId80" xr:uid="{29AC6D7D-E567-40FB-B7F3-582A923192E5}"/>
    <hyperlink ref="M131" r:id="rId81" xr:uid="{3F14CE79-471B-4DD2-8A97-23ADAA39332C}"/>
    <hyperlink ref="M132" r:id="rId82" xr:uid="{329F9873-01DF-4F24-969F-2F5ADE10D63A}"/>
    <hyperlink ref="M133" r:id="rId83" xr:uid="{E1D5A979-89CE-40BD-AB37-E86B1DC5E74E}"/>
    <hyperlink ref="M431" r:id="rId84" xr:uid="{832721DF-86FB-486F-95D3-17B8974E5177}"/>
    <hyperlink ref="M281" r:id="rId85" xr:uid="{1B01D2DC-3F6C-4330-90B5-7966B5112F2E}"/>
    <hyperlink ref="M437" r:id="rId86" xr:uid="{E2FDD822-9DA5-4D3E-BFA9-67836CBE634B}"/>
    <hyperlink ref="M440" r:id="rId87" xr:uid="{A8B83022-3251-45D7-8D99-83DF18D08C0A}"/>
    <hyperlink ref="M441" r:id="rId88" xr:uid="{010D37F2-2E6F-43E9-9CA7-490A45703B1E}"/>
    <hyperlink ref="M280" r:id="rId89" xr:uid="{81C1DC75-51E8-4CEB-A64E-F1AA9869765C}"/>
    <hyperlink ref="M442" r:id="rId90" xr:uid="{D5D3D21A-01FA-4A5F-BE10-4FED6426327E}"/>
    <hyperlink ref="M241" r:id="rId91" xr:uid="{51AE7040-4B10-46AC-880D-CB20EDD3FDFF}"/>
    <hyperlink ref="M272" r:id="rId92" xr:uid="{70B162F3-3E44-4058-A0A8-09CDA2120AE8}"/>
    <hyperlink ref="M222" r:id="rId93" xr:uid="{034241F3-F627-4B10-885B-ED809FDB9F15}"/>
    <hyperlink ref="M193" r:id="rId94" xr:uid="{92B377F9-F21F-4A3F-9DF7-9CEC96C9570C}"/>
    <hyperlink ref="M223" r:id="rId95" xr:uid="{C8E8E3E3-2253-4D5C-8033-F5C6D295951F}"/>
    <hyperlink ref="M225" r:id="rId96" xr:uid="{CD90ABB4-7FDF-42D1-8262-86E81BEE1663}"/>
    <hyperlink ref="M227" r:id="rId97" xr:uid="{0571008A-6E36-4859-8598-54EFC6EBFE78}"/>
    <hyperlink ref="M239" r:id="rId98" xr:uid="{A4A91C6E-BFDF-44B0-AFF5-D922C4368775}"/>
    <hyperlink ref="M68" r:id="rId99" xr:uid="{1321124C-F93D-40EB-93E9-0C6ABEC10227}"/>
    <hyperlink ref="M67" r:id="rId100" xr:uid="{702A42F2-A894-42D7-BB16-760038D18776}"/>
    <hyperlink ref="M69" r:id="rId101" xr:uid="{F00E0EEB-5927-411E-96E3-2E9D6877D9B8}"/>
    <hyperlink ref="M70" r:id="rId102" xr:uid="{87F5BD31-EC0A-484B-A9A6-EFDC99CF2DE7}"/>
    <hyperlink ref="M71" r:id="rId103" xr:uid="{2E02F55C-8AA4-4FBA-906E-B8F354E8DE6D}"/>
    <hyperlink ref="M64" r:id="rId104" xr:uid="{ED33486D-F520-449E-93F8-63BD76BC2D13}"/>
    <hyperlink ref="M65" r:id="rId105" xr:uid="{EA60A98A-BAD9-4E13-81A1-460739E324CA}"/>
    <hyperlink ref="M66" r:id="rId106" xr:uid="{1A5DE36D-CB7A-4788-9BA9-09C33769BA6A}"/>
    <hyperlink ref="M106" r:id="rId107" xr:uid="{F4C25328-ABC4-4979-8F7D-AFEA8B4D65CB}"/>
    <hyperlink ref="M98" r:id="rId108" xr:uid="{D2DF090D-300C-42BC-B09A-62F87955FB35}"/>
    <hyperlink ref="M107" r:id="rId109" display="kranade@mcdermott.com; Deepak.Dange@mcdermott.com; hgaba@mcdermott.com; Pankaj.Jadhav2@mcdermott.com; jsangram@mcdermott.com; Mansi.Kulkarni@mcdermott.com; Yogesh.Lipane@mcdermott.com; HMajmudar@mcdermott.com; smaske@mcdermott.com; kranade@mcdermott.com; sranganathan@mcdermott.com; Rohit.Soni@mcdermott.com; Sachin.Todkar@mcdermott.com; wKprasad@mcdermott.com" xr:uid="{2FC990DF-4BC9-4FC6-8A16-2408E269B9A2}"/>
    <hyperlink ref="M108" r:id="rId110" display="kranade@mcdermott.com; ; hgaba@mcdermott.com; Pankaj.Jadhav2@mcdermott.com; jsangram@mcdermott.com; Mansi.Kulkarni@mcdermott.com; Yogesh.Lipane@mcdermott.com; HMajmudar@mcdermott.com; smaske@mcdermott.com; kranade@mcdermott.com; sranganathan@mcdermott.com; Rohit.Soni@mcdermott.com; Sachin.Todkar@mcdermott.com; wKprasad@mcdermott.com" xr:uid="{6021F4D7-B6A9-4DBC-8FC5-2A866EE456B4}"/>
    <hyperlink ref="M84" r:id="rId111" xr:uid="{52BE0968-F82C-4422-82E0-D7D96CD14246}"/>
    <hyperlink ref="M85" r:id="rId112" xr:uid="{EA81EB2E-5411-4626-BDBD-E6D5650018A6}"/>
    <hyperlink ref="M86" r:id="rId113" display="kranade@mcdermott.com; Suraj.Jagtap@mcdermott.com; Vishal.Kudale@mcdermott.com; Pankaj.Jadhav2@mcdermott.com; HMajmudar@mcdermott.com; smaske@mcdermott.com; Rohit.Soni@mcdermott.com; Pratik.Sawant@mcdermott.com; Rathi.T@mcdermott.com; wKprasad@mcdermott.com" xr:uid="{6AB03DD3-A71D-4AD3-B351-0FA401D958D1}"/>
    <hyperlink ref="M87" r:id="rId114" display="kranade@mcdermott.com Rohit.Soni@mcdermott.com" xr:uid="{C0EDAD7E-C0B5-489B-B709-BDF171A59FD3}"/>
    <hyperlink ref="M88" r:id="rId115" xr:uid="{92857B94-2406-4F1F-8C9A-4EACB36B6308}"/>
    <hyperlink ref="M89" r:id="rId116" display="kranade@mcdermott.com Pankaj.Jadhav2@mcdermott.com; Suraj.Jagtap@mcdermott.com; Vishal.Kudale@mcdermott.com; Yogesh.Lipane@mcdermott.com; HMajmudar@mcdermott.com;smaske@mcdermott.com; Pratik.Sawant@mcdermott.com; Manohar.Vare@mcdermott.com; wKprasad@mcdermott.com" xr:uid="{7FB7CDE8-530E-45F3-AE4E-BFA53F671882}"/>
    <hyperlink ref="M90" r:id="rId117" xr:uid="{20B31A04-10DA-44BF-9C51-D4B5FA088CA5}"/>
    <hyperlink ref="M91" r:id="rId118" xr:uid="{399BA9B1-BE0F-4C34-9137-3C054C9AB3A0}"/>
    <hyperlink ref="M92" r:id="rId119" xr:uid="{397B288A-95E5-476E-96C2-E3277BF4FF29}"/>
    <hyperlink ref="M93" r:id="rId120" xr:uid="{28ACA747-1EAD-4F03-9885-E569CFC60296}"/>
    <hyperlink ref="M94" r:id="rId121" xr:uid="{0AF40EC8-6A4F-418B-A93C-D02EED934E70}"/>
    <hyperlink ref="M95" r:id="rId122" xr:uid="{415BBFF9-C876-4139-BFAC-6E89F3DEFD3B}"/>
    <hyperlink ref="M104" r:id="rId123" xr:uid="{40A3B497-F168-44CA-9C7E-54C473B7E107}"/>
    <hyperlink ref="M105" r:id="rId124" xr:uid="{BD77210B-A030-44FE-B11B-7BBA127F9A21}"/>
    <hyperlink ref="M72" r:id="rId125" display="kranade@mcdermott.com" xr:uid="{B47AD679-9991-459E-970F-F89EF6B470D0}"/>
    <hyperlink ref="M79" r:id="rId126" xr:uid="{B6A60979-6826-4115-8B55-7A91EC526CC5}"/>
    <hyperlink ref="L444" r:id="rId127" display="mailto:Rakesh.Dhummi@mcdermott.com" xr:uid="{E95C71C6-F900-4908-BBDD-F42433BECBC0}"/>
    <hyperlink ref="M444" r:id="rId128" display="mailto:Carson.Daspit@cbi.com" xr:uid="{D765A6EB-D936-43FF-A0D0-72095C5B1058}"/>
    <hyperlink ref="L8" r:id="rId129" xr:uid="{F0214661-50AC-4810-B234-A16FAFC2F8F9}"/>
    <hyperlink ref="L21" r:id="rId130" xr:uid="{4534199A-4CDF-45DD-BFD6-05AA7A08DD43}"/>
    <hyperlink ref="L23" r:id="rId131" xr:uid="{BEB20456-EDCC-4760-BE23-56BAAE391CCB}"/>
    <hyperlink ref="L27" r:id="rId132" xr:uid="{999068AA-3E14-4F54-9428-8A318A0F199A}"/>
    <hyperlink ref="L28" r:id="rId133" xr:uid="{B3582593-FC4D-44BF-9F50-A7B68EC11D34}"/>
    <hyperlink ref="L31" r:id="rId134" xr:uid="{CDC0DE93-AD80-49EA-89A3-F70FFD467BB2}"/>
    <hyperlink ref="L32" r:id="rId135" xr:uid="{2E18D5B5-4C43-4C05-98BE-9996A8EC4F39}"/>
    <hyperlink ref="L33" r:id="rId136" xr:uid="{E0001222-10B5-4147-AF44-190444ECC337}"/>
    <hyperlink ref="L34" r:id="rId137" xr:uid="{A938911E-C96F-472F-9AD3-C6C20EEE4072}"/>
    <hyperlink ref="L35" r:id="rId138" xr:uid="{D4E43FEC-D6AA-47FC-98F0-B1218C38BB58}"/>
    <hyperlink ref="L41" r:id="rId139" xr:uid="{8FB777FB-AEBE-429A-B29E-D466575A8331}"/>
    <hyperlink ref="L64" r:id="rId140" xr:uid="{E3B73BF4-EE5E-4E2E-978A-FC07247BCA76}"/>
    <hyperlink ref="L65" r:id="rId141" xr:uid="{7808D0E0-9FF9-493A-AA82-90526D0BCA5C}"/>
    <hyperlink ref="L66" r:id="rId142" xr:uid="{465B7CB1-FC63-4B30-ADA8-B6C7B8724C03}"/>
    <hyperlink ref="L70" r:id="rId143" xr:uid="{0C68FF30-2F53-45D3-A460-1D8FA1BB1129}"/>
    <hyperlink ref="L72" r:id="rId144" xr:uid="{8E6744E1-2297-43B5-B502-F6673B800C3A}"/>
    <hyperlink ref="M82" r:id="rId145" xr:uid="{11433A01-ADC8-4E5E-B30B-D12FD480460E}"/>
    <hyperlink ref="L80" r:id="rId146" xr:uid="{4FD951FB-A4B2-4A86-971C-59758FE48C7F}"/>
    <hyperlink ref="L81" r:id="rId147" xr:uid="{0EC9DC06-5D17-465A-BF23-21D017F31BF3}"/>
    <hyperlink ref="L79" r:id="rId148" xr:uid="{92DF957C-624E-4583-AC06-6B0429D442F6}"/>
    <hyperlink ref="L82" r:id="rId149" xr:uid="{C9B88500-652D-4B15-9564-1D620C688960}"/>
    <hyperlink ref="L83" r:id="rId150" xr:uid="{B4E29A42-57C1-4E3C-A722-EF8F1CE2A24C}"/>
    <hyperlink ref="L84" r:id="rId151" xr:uid="{AE56014C-7FA2-412A-AC71-E15083C272FF}"/>
    <hyperlink ref="L86" r:id="rId152" xr:uid="{CBCFB6FA-86BA-41B7-9D7E-580558C86C09}"/>
    <hyperlink ref="L88" r:id="rId153" xr:uid="{AB152308-3D57-4ECA-BA9B-AF2B362486CF}"/>
    <hyperlink ref="L92" r:id="rId154" xr:uid="{DDF5180F-8AB1-4014-9027-297B7F114ABC}"/>
    <hyperlink ref="L96" r:id="rId155" xr:uid="{73559C03-3F7D-44BF-966B-5AEDECDB5AF3}"/>
    <hyperlink ref="M102" r:id="rId156" xr:uid="{DFDE5BCA-5B7C-4127-9474-DD151FC02EC6}"/>
    <hyperlink ref="L98" r:id="rId157" xr:uid="{B052E1F6-8625-40B3-BBE3-733ACE7ED632}"/>
    <hyperlink ref="L100" r:id="rId158" xr:uid="{B32D1E38-40B5-4EDF-8888-4D6129329801}"/>
    <hyperlink ref="L103" r:id="rId159" xr:uid="{5BB57777-7133-40CC-898A-1379C3C79758}"/>
    <hyperlink ref="L104" r:id="rId160" xr:uid="{007DA3F7-5E26-428F-BD2C-DA856118F710}"/>
    <hyperlink ref="L105" r:id="rId161" xr:uid="{A80E62FC-8A82-42AD-B426-543CCC46684F}"/>
    <hyperlink ref="L107" r:id="rId162" xr:uid="{050290A7-C385-4440-8968-3D6E2FA84AF4}"/>
    <hyperlink ref="L128" r:id="rId163" xr:uid="{11B62F8C-E2A4-4418-836D-465EF76C9C5A}"/>
    <hyperlink ref="L150" r:id="rId164" display="VMishra@mcdermott.com " xr:uid="{FDA8A1B8-5D8B-442B-9DE3-5687A7D03C0A}"/>
    <hyperlink ref="L147" r:id="rId165" xr:uid="{32EC1741-435F-4D43-B933-2A40EE0779E4}"/>
    <hyperlink ref="L152" r:id="rId166" xr:uid="{A632207D-E7CB-4705-969B-6B49A574D921}"/>
    <hyperlink ref="L155" r:id="rId167" xr:uid="{DA589642-6ACE-48C4-86E3-2D19F9387AEB}"/>
    <hyperlink ref="L196" r:id="rId168" xr:uid="{A151A744-883C-4A8B-A66E-CDEA8979617B}"/>
    <hyperlink ref="L223" r:id="rId169" xr:uid="{C2F80CAE-3ED4-4D82-80F6-30086CE2C027}"/>
    <hyperlink ref="L198" r:id="rId170" xr:uid="{6FA79762-BDCF-44FB-814F-225495CA3A01}"/>
    <hyperlink ref="L211" r:id="rId171" xr:uid="{23FCCF58-404A-4F73-8B16-755A6AF932F8}"/>
    <hyperlink ref="L217" r:id="rId172" xr:uid="{C8D9D5B9-B62E-414C-B06A-4E9B65FA0F19}"/>
    <hyperlink ref="L221" r:id="rId173" xr:uid="{DD819571-0410-4CE2-8920-C497CE34AC3D}"/>
    <hyperlink ref="L222" r:id="rId174" xr:uid="{ED3CBFCF-11CB-442E-AB8D-31489B06E1A1}"/>
    <hyperlink ref="L241" r:id="rId175" xr:uid="{82EDD33E-50EC-4D5D-8D04-B9747FF10470}"/>
    <hyperlink ref="L394" r:id="rId176" xr:uid="{BDFE7CC7-0EEB-4647-974E-85C638C1F51D}"/>
    <hyperlink ref="L402" r:id="rId177" xr:uid="{890CF409-B6EF-4712-BB6B-BC94ED476B82}"/>
    <hyperlink ref="L408" r:id="rId178" xr:uid="{22B2527C-A582-4C85-972D-2DD5A02B3B50}"/>
    <hyperlink ref="L431" r:id="rId179" xr:uid="{48B4B8EF-5B08-467B-8C52-3DA3E1C2DFF2}"/>
    <hyperlink ref="M240" r:id="rId180" display="Atul.Singhai@mcdermott.com; x.mike.koshel@mcdermott.com; VMishra@mcdermott.com; VSlavov@mcdermott.com; CToet@mcdermott.com; Jeremy.Wier@mcdermott.com" xr:uid="{8FD95B44-DB60-46C1-B405-2BDA23A6A502}"/>
    <hyperlink ref="L240" r:id="rId181" display="Atul.Singhai@mcdermott.com; x.mike.koshel@mcdermott.com; VMishra@mcdermott.com; VSlavov@mcdermott.com; CToet@mcdermott.com; Jeremy.Wier@mcdermott.com" xr:uid="{CC57BC98-7A51-434C-A1EF-2E5DAF5A6F91}"/>
    <hyperlink ref="L144" r:id="rId182" xr:uid="{8A686341-4A01-4733-8EDF-871C8786C11D}"/>
    <hyperlink ref="M448" r:id="rId183" xr:uid="{714E41A6-3B1A-4F4A-BAE8-174AA659C983}"/>
    <hyperlink ref="L448" r:id="rId184" xr:uid="{1DD6D2CE-E091-43BE-977A-84AA9810D3D9}"/>
    <hyperlink ref="L6" r:id="rId185" xr:uid="{455ACC3D-B456-491F-A741-A5ABB23206C8}"/>
    <hyperlink ref="L9" r:id="rId186" xr:uid="{063CEB33-FABA-4221-8021-648A9E736211}"/>
    <hyperlink ref="L18" r:id="rId187" xr:uid="{E31AC673-38F9-4889-91AE-947612AE3168}"/>
  </hyperlinks>
  <pageMargins left="0.7" right="0.7" top="0.75" bottom="0.75" header="0.3" footer="0.3"/>
  <tableParts count="1">
    <tablePart r:id="rId18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D6EDA-1411-4CEF-83D5-D33B036A6AA9}">
  <dimension ref="A1:A88"/>
  <sheetViews>
    <sheetView workbookViewId="0">
      <selection activeCell="A2" sqref="A2"/>
    </sheetView>
  </sheetViews>
  <sheetFormatPr defaultRowHeight="15" x14ac:dyDescent="0.25"/>
  <cols>
    <col min="1" max="1" width="33.140625" bestFit="1" customWidth="1"/>
  </cols>
  <sheetData>
    <row r="1" spans="1:1" x14ac:dyDescent="0.25">
      <c r="A1" s="20" t="s">
        <v>2339</v>
      </c>
    </row>
    <row r="2" spans="1:1" x14ac:dyDescent="0.25">
      <c r="A2" s="21" t="s">
        <v>71</v>
      </c>
    </row>
    <row r="3" spans="1:1" x14ac:dyDescent="0.25">
      <c r="A3" s="21" t="s">
        <v>2340</v>
      </c>
    </row>
    <row r="4" spans="1:1" x14ac:dyDescent="0.25">
      <c r="A4" s="21" t="s">
        <v>128</v>
      </c>
    </row>
    <row r="5" spans="1:1" x14ac:dyDescent="0.25">
      <c r="A5" s="21" t="s">
        <v>2341</v>
      </c>
    </row>
    <row r="6" spans="1:1" x14ac:dyDescent="0.25">
      <c r="A6" s="21" t="s">
        <v>2342</v>
      </c>
    </row>
    <row r="7" spans="1:1" x14ac:dyDescent="0.25">
      <c r="A7" s="21" t="s">
        <v>2343</v>
      </c>
    </row>
    <row r="8" spans="1:1" x14ac:dyDescent="0.25">
      <c r="A8" s="21" t="s">
        <v>2344</v>
      </c>
    </row>
    <row r="9" spans="1:1" x14ac:dyDescent="0.25">
      <c r="A9" s="22" t="s">
        <v>2345</v>
      </c>
    </row>
    <row r="10" spans="1:1" x14ac:dyDescent="0.25">
      <c r="A10" s="21" t="s">
        <v>212</v>
      </c>
    </row>
    <row r="11" spans="1:1" x14ac:dyDescent="0.25">
      <c r="A11" s="22" t="s">
        <v>220</v>
      </c>
    </row>
    <row r="12" spans="1:1" x14ac:dyDescent="0.25">
      <c r="A12" s="22" t="s">
        <v>2346</v>
      </c>
    </row>
    <row r="13" spans="1:1" x14ac:dyDescent="0.25">
      <c r="A13" s="21" t="s">
        <v>163</v>
      </c>
    </row>
    <row r="14" spans="1:1" x14ac:dyDescent="0.25">
      <c r="A14" s="22" t="s">
        <v>2347</v>
      </c>
    </row>
    <row r="15" spans="1:1" x14ac:dyDescent="0.25">
      <c r="A15" s="22" t="s">
        <v>312</v>
      </c>
    </row>
    <row r="16" spans="1:1" x14ac:dyDescent="0.25">
      <c r="A16" s="22" t="s">
        <v>1137</v>
      </c>
    </row>
    <row r="17" spans="1:1" x14ac:dyDescent="0.25">
      <c r="A17" s="22" t="s">
        <v>409</v>
      </c>
    </row>
    <row r="18" spans="1:1" x14ac:dyDescent="0.25">
      <c r="A18" s="21" t="s">
        <v>2348</v>
      </c>
    </row>
    <row r="19" spans="1:1" x14ac:dyDescent="0.25">
      <c r="A19" s="21" t="s">
        <v>500</v>
      </c>
    </row>
    <row r="20" spans="1:1" x14ac:dyDescent="0.25">
      <c r="A20" s="21" t="s">
        <v>774</v>
      </c>
    </row>
    <row r="21" spans="1:1" x14ac:dyDescent="0.25">
      <c r="A21" s="23" t="s">
        <v>2349</v>
      </c>
    </row>
    <row r="22" spans="1:1" x14ac:dyDescent="0.25">
      <c r="A22" s="22" t="s">
        <v>2350</v>
      </c>
    </row>
    <row r="23" spans="1:1" x14ac:dyDescent="0.25">
      <c r="A23" s="21" t="s">
        <v>801</v>
      </c>
    </row>
    <row r="24" spans="1:1" x14ac:dyDescent="0.25">
      <c r="A24" s="22" t="s">
        <v>2351</v>
      </c>
    </row>
    <row r="25" spans="1:1" x14ac:dyDescent="0.25">
      <c r="A25" s="21" t="s">
        <v>1291</v>
      </c>
    </row>
    <row r="26" spans="1:1" x14ac:dyDescent="0.25">
      <c r="A26" s="21" t="s">
        <v>918</v>
      </c>
    </row>
    <row r="27" spans="1:1" x14ac:dyDescent="0.25">
      <c r="A27" s="21" t="s">
        <v>923</v>
      </c>
    </row>
    <row r="28" spans="1:1" x14ac:dyDescent="0.25">
      <c r="A28" s="23" t="s">
        <v>2352</v>
      </c>
    </row>
    <row r="29" spans="1:1" x14ac:dyDescent="0.25">
      <c r="A29" s="23" t="s">
        <v>2353</v>
      </c>
    </row>
    <row r="30" spans="1:1" x14ac:dyDescent="0.25">
      <c r="A30" s="23" t="s">
        <v>1155</v>
      </c>
    </row>
    <row r="31" spans="1:1" x14ac:dyDescent="0.25">
      <c r="A31" s="22" t="s">
        <v>1165</v>
      </c>
    </row>
    <row r="32" spans="1:1" x14ac:dyDescent="0.25">
      <c r="A32" s="21" t="s">
        <v>1228</v>
      </c>
    </row>
    <row r="33" spans="1:1" x14ac:dyDescent="0.25">
      <c r="A33" s="22" t="s">
        <v>2354</v>
      </c>
    </row>
    <row r="34" spans="1:1" x14ac:dyDescent="0.25">
      <c r="A34" s="22" t="s">
        <v>1313</v>
      </c>
    </row>
    <row r="35" spans="1:1" x14ac:dyDescent="0.25">
      <c r="A35" s="22" t="s">
        <v>2355</v>
      </c>
    </row>
    <row r="36" spans="1:1" x14ac:dyDescent="0.25">
      <c r="A36" s="22" t="s">
        <v>281</v>
      </c>
    </row>
    <row r="37" spans="1:1" x14ac:dyDescent="0.25">
      <c r="A37" s="22" t="s">
        <v>2073</v>
      </c>
    </row>
    <row r="38" spans="1:1" x14ac:dyDescent="0.25">
      <c r="A38" s="22" t="s">
        <v>2356</v>
      </c>
    </row>
    <row r="39" spans="1:1" x14ac:dyDescent="0.25">
      <c r="A39" s="21" t="s">
        <v>2357</v>
      </c>
    </row>
    <row r="40" spans="1:1" x14ac:dyDescent="0.25">
      <c r="A40" s="22" t="s">
        <v>2358</v>
      </c>
    </row>
    <row r="41" spans="1:1" x14ac:dyDescent="0.25">
      <c r="A41" s="21" t="s">
        <v>2359</v>
      </c>
    </row>
    <row r="42" spans="1:1" x14ac:dyDescent="0.25">
      <c r="A42" s="23" t="s">
        <v>2360</v>
      </c>
    </row>
    <row r="43" spans="1:1" x14ac:dyDescent="0.25">
      <c r="A43" s="23" t="s">
        <v>2361</v>
      </c>
    </row>
    <row r="44" spans="1:1" x14ac:dyDescent="0.25">
      <c r="A44" s="23" t="s">
        <v>2362</v>
      </c>
    </row>
    <row r="45" spans="1:1" x14ac:dyDescent="0.25">
      <c r="A45" s="23" t="s">
        <v>2363</v>
      </c>
    </row>
    <row r="46" spans="1:1" x14ac:dyDescent="0.25">
      <c r="A46" s="23" t="s">
        <v>2364</v>
      </c>
    </row>
    <row r="47" spans="1:1" x14ac:dyDescent="0.25">
      <c r="A47" s="23" t="s">
        <v>2365</v>
      </c>
    </row>
    <row r="48" spans="1:1" x14ac:dyDescent="0.25">
      <c r="A48" s="23" t="s">
        <v>2366</v>
      </c>
    </row>
    <row r="49" spans="1:1" x14ac:dyDescent="0.25">
      <c r="A49" s="23" t="s">
        <v>506</v>
      </c>
    </row>
    <row r="50" spans="1:1" x14ac:dyDescent="0.25">
      <c r="A50" s="23" t="s">
        <v>2367</v>
      </c>
    </row>
    <row r="51" spans="1:1" x14ac:dyDescent="0.25">
      <c r="A51" s="23" t="s">
        <v>2368</v>
      </c>
    </row>
    <row r="52" spans="1:1" x14ac:dyDescent="0.25">
      <c r="A52" s="23" t="s">
        <v>196</v>
      </c>
    </row>
    <row r="53" spans="1:1" x14ac:dyDescent="0.25">
      <c r="A53" s="23" t="s">
        <v>2369</v>
      </c>
    </row>
    <row r="54" spans="1:1" x14ac:dyDescent="0.25">
      <c r="A54" s="23" t="s">
        <v>2370</v>
      </c>
    </row>
    <row r="55" spans="1:1" x14ac:dyDescent="0.25">
      <c r="A55" s="21" t="s">
        <v>2371</v>
      </c>
    </row>
    <row r="56" spans="1:1" x14ac:dyDescent="0.25">
      <c r="A56" s="23" t="s">
        <v>2372</v>
      </c>
    </row>
    <row r="57" spans="1:1" x14ac:dyDescent="0.25">
      <c r="A57" s="23" t="s">
        <v>2373</v>
      </c>
    </row>
    <row r="58" spans="1:1" x14ac:dyDescent="0.25">
      <c r="A58" s="23" t="s">
        <v>2374</v>
      </c>
    </row>
    <row r="59" spans="1:1" x14ac:dyDescent="0.25">
      <c r="A59" s="23" t="s">
        <v>2375</v>
      </c>
    </row>
    <row r="60" spans="1:1" x14ac:dyDescent="0.25">
      <c r="A60" s="23" t="s">
        <v>70</v>
      </c>
    </row>
    <row r="61" spans="1:1" x14ac:dyDescent="0.25">
      <c r="A61" s="23" t="s">
        <v>2376</v>
      </c>
    </row>
    <row r="62" spans="1:1" x14ac:dyDescent="0.25">
      <c r="A62" s="23" t="s">
        <v>2377</v>
      </c>
    </row>
    <row r="63" spans="1:1" x14ac:dyDescent="0.25">
      <c r="A63" s="23" t="s">
        <v>580</v>
      </c>
    </row>
    <row r="64" spans="1:1" x14ac:dyDescent="0.25">
      <c r="A64" s="23" t="s">
        <v>2378</v>
      </c>
    </row>
    <row r="65" spans="1:1" x14ac:dyDescent="0.25">
      <c r="A65" s="23" t="s">
        <v>2379</v>
      </c>
    </row>
    <row r="66" spans="1:1" x14ac:dyDescent="0.25">
      <c r="A66" s="23" t="s">
        <v>2380</v>
      </c>
    </row>
    <row r="67" spans="1:1" x14ac:dyDescent="0.25">
      <c r="A67" s="23" t="s">
        <v>618</v>
      </c>
    </row>
    <row r="68" spans="1:1" x14ac:dyDescent="0.25">
      <c r="A68" s="23" t="s">
        <v>2381</v>
      </c>
    </row>
    <row r="69" spans="1:1" x14ac:dyDescent="0.25">
      <c r="A69" s="23" t="s">
        <v>2382</v>
      </c>
    </row>
    <row r="70" spans="1:1" x14ac:dyDescent="0.25">
      <c r="A70" s="23" t="s">
        <v>2383</v>
      </c>
    </row>
    <row r="71" spans="1:1" x14ac:dyDescent="0.25">
      <c r="A71" s="23" t="s">
        <v>2384</v>
      </c>
    </row>
    <row r="72" spans="1:1" x14ac:dyDescent="0.25">
      <c r="A72" s="23" t="s">
        <v>556</v>
      </c>
    </row>
    <row r="73" spans="1:1" x14ac:dyDescent="0.25">
      <c r="A73" s="23" t="s">
        <v>2332</v>
      </c>
    </row>
    <row r="74" spans="1:1" x14ac:dyDescent="0.25">
      <c r="A74" s="23" t="s">
        <v>2385</v>
      </c>
    </row>
    <row r="75" spans="1:1" x14ac:dyDescent="0.25">
      <c r="A75" s="23" t="s">
        <v>2386</v>
      </c>
    </row>
    <row r="76" spans="1:1" x14ac:dyDescent="0.25">
      <c r="A76" s="23" t="s">
        <v>2387</v>
      </c>
    </row>
    <row r="77" spans="1:1" x14ac:dyDescent="0.25">
      <c r="A77" s="23" t="s">
        <v>2388</v>
      </c>
    </row>
    <row r="78" spans="1:1" x14ac:dyDescent="0.25">
      <c r="A78" s="23" t="s">
        <v>2389</v>
      </c>
    </row>
    <row r="79" spans="1:1" x14ac:dyDescent="0.25">
      <c r="A79" s="23" t="s">
        <v>2390</v>
      </c>
    </row>
    <row r="80" spans="1:1" x14ac:dyDescent="0.25">
      <c r="A80" s="23" t="s">
        <v>2391</v>
      </c>
    </row>
    <row r="81" spans="1:1" x14ac:dyDescent="0.25">
      <c r="A81" s="23" t="s">
        <v>2392</v>
      </c>
    </row>
    <row r="82" spans="1:1" x14ac:dyDescent="0.25">
      <c r="A82" s="23" t="s">
        <v>2393</v>
      </c>
    </row>
    <row r="83" spans="1:1" x14ac:dyDescent="0.25">
      <c r="A83" s="23" t="s">
        <v>2394</v>
      </c>
    </row>
    <row r="84" spans="1:1" x14ac:dyDescent="0.25">
      <c r="A84" s="23" t="s">
        <v>2395</v>
      </c>
    </row>
    <row r="85" spans="1:1" x14ac:dyDescent="0.25">
      <c r="A85" s="23" t="s">
        <v>2396</v>
      </c>
    </row>
    <row r="86" spans="1:1" x14ac:dyDescent="0.25">
      <c r="A86" s="23" t="s">
        <v>2397</v>
      </c>
    </row>
    <row r="87" spans="1:1" x14ac:dyDescent="0.25">
      <c r="A87" s="23" t="s">
        <v>2398</v>
      </c>
    </row>
    <row r="88" spans="1:1" x14ac:dyDescent="0.25">
      <c r="A88" s="23" t="s">
        <v>2399</v>
      </c>
    </row>
  </sheetData>
  <hyperlinks>
    <hyperlink ref="A2" r:id="rId1" xr:uid="{ED798AE1-4546-4086-A235-F281D140D676}"/>
    <hyperlink ref="A3" r:id="rId2" xr:uid="{3991367F-7A12-4989-9AA7-9D7BBFA0A575}"/>
    <hyperlink ref="A4" r:id="rId3" xr:uid="{65A3FD2D-D784-467D-9C9D-0E059DF65EC4}"/>
    <hyperlink ref="A5" r:id="rId4" xr:uid="{A55A9A0A-184C-406C-B142-0B7E0D6AB94C}"/>
    <hyperlink ref="A6" r:id="rId5" xr:uid="{CE294B0F-DF4D-45DC-BB93-DEFEC4B0CB0E}"/>
    <hyperlink ref="A7" r:id="rId6" xr:uid="{FDF6ACB8-4A17-4B37-ACB9-951F82D4BCB6}"/>
    <hyperlink ref="A8" r:id="rId7" xr:uid="{BB08FD23-A34F-4FCE-A44A-737B76EDE688}"/>
    <hyperlink ref="A9" r:id="rId8" xr:uid="{44102CB7-C79A-48A3-AD07-C36D64EDB632}"/>
    <hyperlink ref="A10" r:id="rId9" xr:uid="{73162ED7-E53D-4190-82B4-71B8D871D603}"/>
    <hyperlink ref="A11" r:id="rId10" xr:uid="{30E9C26F-30BF-4C8F-8FD8-FAECC5734252}"/>
    <hyperlink ref="A12" r:id="rId11" xr:uid="{E1135A83-3A7B-4A91-AEBD-7AA71326C645}"/>
    <hyperlink ref="A13" r:id="rId12" xr:uid="{ED4CD7BC-7F46-476F-A6AC-C584FCDA9600}"/>
    <hyperlink ref="A14" r:id="rId13" xr:uid="{FBA3A724-AA94-4CF7-BDBA-53995F973460}"/>
    <hyperlink ref="A15" r:id="rId14" xr:uid="{BE9E8AAE-6962-4396-94D4-5146B7F07EB0}"/>
    <hyperlink ref="A16" r:id="rId15" xr:uid="{902C5E5D-A59D-484C-9E64-3B9ECB586E85}"/>
    <hyperlink ref="A17" r:id="rId16" xr:uid="{CE5F0908-8C0B-4056-B691-6ABF5C5A4474}"/>
    <hyperlink ref="A18" r:id="rId17" xr:uid="{E3F32FFE-9654-4612-922C-27783A6E6F52}"/>
    <hyperlink ref="A19" r:id="rId18" xr:uid="{2442CC75-E51A-4DC1-8722-F7AC4071087B}"/>
    <hyperlink ref="A20" r:id="rId19" xr:uid="{5F6513DF-184B-4AA1-A69A-4794B5265927}"/>
    <hyperlink ref="A22" r:id="rId20" xr:uid="{E5F82D8F-1704-4599-A437-FA9B993576B8}"/>
    <hyperlink ref="A23" r:id="rId21" xr:uid="{35DCE0C1-6A73-4ED1-8A33-E8C229171814}"/>
    <hyperlink ref="A24" r:id="rId22" xr:uid="{41ADF488-F22A-428E-9D3C-2578DA327163}"/>
    <hyperlink ref="A25" r:id="rId23" xr:uid="{C5EEA1E7-45AF-4780-B248-F03C49C3799A}"/>
    <hyperlink ref="A26" r:id="rId24" xr:uid="{35E25CC4-14C8-4901-9A5F-C3FF106CE2EF}"/>
    <hyperlink ref="A27" r:id="rId25" xr:uid="{4A8AC033-C751-4F7F-A722-6DF822EDA2BC}"/>
    <hyperlink ref="A31" r:id="rId26" xr:uid="{DEAC1BEB-4E92-4445-8AC7-E0EC01D1CAC3}"/>
    <hyperlink ref="A32" r:id="rId27" xr:uid="{5CF113E6-508E-48A4-9F55-11417CFE8DCF}"/>
    <hyperlink ref="A33" r:id="rId28" xr:uid="{5A70DF16-3DD9-4AA6-88BA-06D4870149AF}"/>
    <hyperlink ref="A34" r:id="rId29" xr:uid="{636442D1-30E9-48BD-8C03-49991965311E}"/>
    <hyperlink ref="A35" r:id="rId30" xr:uid="{6900D793-BE62-428A-A04E-20B3406B9679}"/>
    <hyperlink ref="A36" r:id="rId31" xr:uid="{DFAB191C-378C-45A8-BD0A-910F166982BE}"/>
    <hyperlink ref="A37" r:id="rId32" xr:uid="{03AE459C-8261-48F1-9484-0661D41B063C}"/>
    <hyperlink ref="A38" r:id="rId33" xr:uid="{3231A33C-7267-4776-91E9-B6217F9E0BFA}"/>
    <hyperlink ref="A39" r:id="rId34" xr:uid="{76DCD495-C285-4A55-AA2B-F8F0B0E1866B}"/>
    <hyperlink ref="A40" r:id="rId35" xr:uid="{CD028540-7CEE-4255-99FA-AC282EFA53E3}"/>
    <hyperlink ref="A41" r:id="rId36" xr:uid="{AFB06FEF-AD92-42B3-AE0B-7F311A55CC36}"/>
    <hyperlink ref="A55" r:id="rId37" xr:uid="{1F85A81E-77C6-4926-BFB5-3B70E8CF2B7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8063-F70D-4180-8632-350BFA0C39C2}">
  <dimension ref="B2:D381"/>
  <sheetViews>
    <sheetView workbookViewId="0">
      <selection activeCell="E1" sqref="E1"/>
    </sheetView>
  </sheetViews>
  <sheetFormatPr defaultRowHeight="15" x14ac:dyDescent="0.25"/>
  <cols>
    <col min="2" max="2" width="29.140625" bestFit="1" customWidth="1"/>
    <col min="3" max="3" width="53.7109375" customWidth="1"/>
    <col min="4" max="4" width="57" customWidth="1"/>
  </cols>
  <sheetData>
    <row r="2" spans="2:4" x14ac:dyDescent="0.25">
      <c r="B2" s="5" t="s">
        <v>1156</v>
      </c>
      <c r="C2" t="e">
        <f>TEXT(DATEVALUE(LEFT(G2,10)),"MMDD/YYYY")</f>
        <v>#VALUE!</v>
      </c>
      <c r="D2" t="s">
        <v>2400</v>
      </c>
    </row>
    <row r="3" spans="2:4" x14ac:dyDescent="0.25">
      <c r="B3" s="5" t="s">
        <v>1156</v>
      </c>
      <c r="C3" t="str">
        <f t="shared" ref="C3:C66" si="0" xml:space="preserve"> TEXT(DATEVALUE(LEFT(B3,10)),"MMDD/YYYY")</f>
        <v>1025/2019</v>
      </c>
      <c r="D3" t="s">
        <v>2400</v>
      </c>
    </row>
    <row r="4" spans="2:4" x14ac:dyDescent="0.25">
      <c r="B4" s="4" t="s">
        <v>1321</v>
      </c>
      <c r="C4" t="str">
        <f t="shared" si="0"/>
        <v>1025/2019</v>
      </c>
      <c r="D4" t="s">
        <v>2400</v>
      </c>
    </row>
    <row r="5" spans="2:4" x14ac:dyDescent="0.25">
      <c r="B5" s="5" t="s">
        <v>1324</v>
      </c>
      <c r="C5" t="str">
        <f t="shared" si="0"/>
        <v>1025/2019</v>
      </c>
      <c r="D5" t="s">
        <v>2400</v>
      </c>
    </row>
    <row r="6" spans="2:4" x14ac:dyDescent="0.25">
      <c r="B6" s="4" t="s">
        <v>1166</v>
      </c>
      <c r="C6" t="str">
        <f t="shared" si="0"/>
        <v>1025/2019</v>
      </c>
      <c r="D6" t="s">
        <v>2400</v>
      </c>
    </row>
    <row r="7" spans="2:4" x14ac:dyDescent="0.25">
      <c r="B7" s="5" t="s">
        <v>1327</v>
      </c>
      <c r="C7" t="str">
        <f t="shared" si="0"/>
        <v>1025/2019</v>
      </c>
    </row>
    <row r="8" spans="2:4" x14ac:dyDescent="0.25">
      <c r="B8" s="4" t="s">
        <v>1330</v>
      </c>
      <c r="C8" t="str">
        <f t="shared" si="0"/>
        <v>1025/2019</v>
      </c>
    </row>
    <row r="9" spans="2:4" x14ac:dyDescent="0.25">
      <c r="B9" s="5" t="s">
        <v>1333</v>
      </c>
      <c r="C9" t="str">
        <f t="shared" si="0"/>
        <v>1025/2019</v>
      </c>
    </row>
    <row r="10" spans="2:4" x14ac:dyDescent="0.25">
      <c r="B10" s="4" t="s">
        <v>1229</v>
      </c>
      <c r="C10" t="str">
        <f t="shared" si="0"/>
        <v>1025/2019</v>
      </c>
    </row>
    <row r="11" spans="2:4" x14ac:dyDescent="0.25">
      <c r="B11" s="5" t="s">
        <v>1336</v>
      </c>
      <c r="C11" t="str">
        <f t="shared" si="0"/>
        <v>1025/2019</v>
      </c>
    </row>
    <row r="12" spans="2:4" x14ac:dyDescent="0.25">
      <c r="B12" s="4" t="s">
        <v>1339</v>
      </c>
      <c r="C12" t="str">
        <f t="shared" si="0"/>
        <v>1025/2019</v>
      </c>
    </row>
    <row r="13" spans="2:4" x14ac:dyDescent="0.25">
      <c r="B13" s="5" t="s">
        <v>1296</v>
      </c>
      <c r="C13" t="str">
        <f t="shared" si="0"/>
        <v>1025/2019</v>
      </c>
    </row>
    <row r="14" spans="2:4" x14ac:dyDescent="0.25">
      <c r="B14" s="4" t="s">
        <v>1342</v>
      </c>
      <c r="C14" t="str">
        <f t="shared" si="0"/>
        <v>1025/2019</v>
      </c>
    </row>
    <row r="15" spans="2:4" x14ac:dyDescent="0.25">
      <c r="B15" s="5" t="s">
        <v>1258</v>
      </c>
      <c r="C15" t="str">
        <f t="shared" si="0"/>
        <v>1025/2019</v>
      </c>
    </row>
    <row r="16" spans="2:4" x14ac:dyDescent="0.25">
      <c r="B16" s="4" t="s">
        <v>1345</v>
      </c>
      <c r="C16" t="str">
        <f t="shared" si="0"/>
        <v>1025/2019</v>
      </c>
    </row>
    <row r="17" spans="2:3" x14ac:dyDescent="0.25">
      <c r="B17" s="5" t="s">
        <v>1348</v>
      </c>
      <c r="C17" t="str">
        <f t="shared" si="0"/>
        <v>1025/2019</v>
      </c>
    </row>
    <row r="18" spans="2:3" x14ac:dyDescent="0.25">
      <c r="B18" s="4" t="s">
        <v>1309</v>
      </c>
      <c r="C18" t="str">
        <f t="shared" si="0"/>
        <v>1025/2019</v>
      </c>
    </row>
    <row r="19" spans="2:3" x14ac:dyDescent="0.25">
      <c r="B19" s="5" t="s">
        <v>1279</v>
      </c>
      <c r="C19" t="str">
        <f t="shared" si="0"/>
        <v>1025/2019</v>
      </c>
    </row>
    <row r="20" spans="2:3" x14ac:dyDescent="0.25">
      <c r="B20" s="4" t="s">
        <v>690</v>
      </c>
      <c r="C20" t="str">
        <f t="shared" si="0"/>
        <v>0926/2019</v>
      </c>
    </row>
    <row r="21" spans="2:3" x14ac:dyDescent="0.25">
      <c r="B21" s="5" t="s">
        <v>684</v>
      </c>
      <c r="C21" t="str">
        <f t="shared" si="0"/>
        <v>0926/2019</v>
      </c>
    </row>
    <row r="22" spans="2:3" x14ac:dyDescent="0.25">
      <c r="B22" s="4" t="s">
        <v>695</v>
      </c>
      <c r="C22" t="str">
        <f t="shared" si="0"/>
        <v>0926/2019</v>
      </c>
    </row>
    <row r="23" spans="2:3" x14ac:dyDescent="0.25">
      <c r="B23" s="5" t="s">
        <v>703</v>
      </c>
      <c r="C23" t="str">
        <f t="shared" si="0"/>
        <v>0926/2019</v>
      </c>
    </row>
    <row r="24" spans="2:3" x14ac:dyDescent="0.25">
      <c r="B24" s="4" t="s">
        <v>699</v>
      </c>
      <c r="C24" t="str">
        <f t="shared" si="0"/>
        <v>0926/2019</v>
      </c>
    </row>
    <row r="25" spans="2:3" x14ac:dyDescent="0.25">
      <c r="B25" s="5" t="s">
        <v>708</v>
      </c>
      <c r="C25" t="str">
        <f t="shared" si="0"/>
        <v>0926/2019</v>
      </c>
    </row>
    <row r="26" spans="2:3" x14ac:dyDescent="0.25">
      <c r="B26" s="4" t="s">
        <v>712</v>
      </c>
      <c r="C26" t="str">
        <f t="shared" si="0"/>
        <v>0926/2019</v>
      </c>
    </row>
    <row r="27" spans="2:3" x14ac:dyDescent="0.25">
      <c r="B27" s="5" t="s">
        <v>717</v>
      </c>
      <c r="C27" t="str">
        <f t="shared" si="0"/>
        <v>0926/2019</v>
      </c>
    </row>
    <row r="28" spans="2:3" x14ac:dyDescent="0.25">
      <c r="B28" s="4" t="s">
        <v>722</v>
      </c>
      <c r="C28" t="str">
        <f t="shared" si="0"/>
        <v>0926/2019</v>
      </c>
    </row>
    <row r="29" spans="2:3" x14ac:dyDescent="0.25">
      <c r="B29" s="5" t="s">
        <v>726</v>
      </c>
      <c r="C29" t="str">
        <f t="shared" si="0"/>
        <v>0926/2019</v>
      </c>
    </row>
    <row r="30" spans="2:3" x14ac:dyDescent="0.25">
      <c r="B30" s="4" t="s">
        <v>730</v>
      </c>
      <c r="C30" t="str">
        <f t="shared" si="0"/>
        <v>0926/2019</v>
      </c>
    </row>
    <row r="31" spans="2:3" x14ac:dyDescent="0.25">
      <c r="B31" s="5" t="s">
        <v>735</v>
      </c>
      <c r="C31" t="str">
        <f t="shared" si="0"/>
        <v>0926/2019</v>
      </c>
    </row>
    <row r="32" spans="2:3" x14ac:dyDescent="0.25">
      <c r="B32" s="4" t="s">
        <v>740</v>
      </c>
      <c r="C32" t="str">
        <f t="shared" si="0"/>
        <v>0926/2019</v>
      </c>
    </row>
    <row r="33" spans="2:3" x14ac:dyDescent="0.25">
      <c r="B33" s="5" t="s">
        <v>744</v>
      </c>
      <c r="C33" t="str">
        <f t="shared" si="0"/>
        <v>0926/2019</v>
      </c>
    </row>
    <row r="34" spans="2:3" x14ac:dyDescent="0.25">
      <c r="B34" s="4" t="s">
        <v>749</v>
      </c>
      <c r="C34" t="str">
        <f t="shared" si="0"/>
        <v>0926/2019</v>
      </c>
    </row>
    <row r="35" spans="2:3" x14ac:dyDescent="0.25">
      <c r="B35" s="5" t="s">
        <v>754</v>
      </c>
      <c r="C35" t="str">
        <f t="shared" si="0"/>
        <v>0926/2019</v>
      </c>
    </row>
    <row r="36" spans="2:3" x14ac:dyDescent="0.25">
      <c r="B36" s="4" t="s">
        <v>759</v>
      </c>
      <c r="C36" t="str">
        <f t="shared" si="0"/>
        <v>0926/2019</v>
      </c>
    </row>
    <row r="37" spans="2:3" x14ac:dyDescent="0.25">
      <c r="B37" s="5" t="s">
        <v>763</v>
      </c>
      <c r="C37" t="str">
        <f t="shared" si="0"/>
        <v>0926/2019</v>
      </c>
    </row>
    <row r="38" spans="2:3" x14ac:dyDescent="0.25">
      <c r="B38" s="4" t="s">
        <v>767</v>
      </c>
      <c r="C38" t="str">
        <f t="shared" si="0"/>
        <v>0926/2019</v>
      </c>
    </row>
    <row r="39" spans="2:3" x14ac:dyDescent="0.25">
      <c r="B39" s="5" t="s">
        <v>284</v>
      </c>
      <c r="C39" t="str">
        <f t="shared" si="0"/>
        <v>0926/2019</v>
      </c>
    </row>
    <row r="40" spans="2:3" x14ac:dyDescent="0.25">
      <c r="B40" s="4" t="s">
        <v>291</v>
      </c>
      <c r="C40" t="str">
        <f t="shared" si="0"/>
        <v>0926/2019</v>
      </c>
    </row>
    <row r="41" spans="2:3" x14ac:dyDescent="0.25">
      <c r="B41" s="5" t="s">
        <v>295</v>
      </c>
      <c r="C41" t="str">
        <f t="shared" si="0"/>
        <v>0926/2019</v>
      </c>
    </row>
    <row r="42" spans="2:3" x14ac:dyDescent="0.25">
      <c r="B42" s="4" t="s">
        <v>299</v>
      </c>
      <c r="C42" t="str">
        <f t="shared" si="0"/>
        <v>0926/2019</v>
      </c>
    </row>
    <row r="43" spans="2:3" x14ac:dyDescent="0.25">
      <c r="B43" s="5" t="s">
        <v>1570</v>
      </c>
      <c r="C43" t="str">
        <f t="shared" si="0"/>
        <v>0926/2019</v>
      </c>
    </row>
    <row r="44" spans="2:3" x14ac:dyDescent="0.25">
      <c r="B44" s="4" t="s">
        <v>1924</v>
      </c>
      <c r="C44" t="str">
        <f t="shared" si="0"/>
        <v>0926/2019</v>
      </c>
    </row>
    <row r="45" spans="2:3" x14ac:dyDescent="0.25">
      <c r="B45" s="5" t="s">
        <v>1920</v>
      </c>
      <c r="C45" t="str">
        <f t="shared" si="0"/>
        <v>0926/2019</v>
      </c>
    </row>
    <row r="46" spans="2:3" x14ac:dyDescent="0.25">
      <c r="B46" s="4" t="s">
        <v>1934</v>
      </c>
      <c r="C46" t="str">
        <f t="shared" si="0"/>
        <v>0926/2019</v>
      </c>
    </row>
    <row r="47" spans="2:3" x14ac:dyDescent="0.25">
      <c r="B47" s="5" t="s">
        <v>1929</v>
      </c>
      <c r="C47" t="str">
        <f t="shared" si="0"/>
        <v>0926/2019</v>
      </c>
    </row>
    <row r="48" spans="2:3" x14ac:dyDescent="0.25">
      <c r="B48" s="4" t="s">
        <v>1944</v>
      </c>
      <c r="C48" t="str">
        <f t="shared" si="0"/>
        <v>0926/2019</v>
      </c>
    </row>
    <row r="49" spans="2:3" x14ac:dyDescent="0.25">
      <c r="B49" s="5" t="s">
        <v>1939</v>
      </c>
      <c r="C49" t="str">
        <f t="shared" si="0"/>
        <v>0926/2019</v>
      </c>
    </row>
    <row r="50" spans="2:3" x14ac:dyDescent="0.25">
      <c r="B50" s="4" t="s">
        <v>1949</v>
      </c>
      <c r="C50" t="str">
        <f t="shared" si="0"/>
        <v>0926/2019</v>
      </c>
    </row>
    <row r="51" spans="2:3" x14ac:dyDescent="0.25">
      <c r="B51" s="5" t="s">
        <v>1958</v>
      </c>
      <c r="C51" t="str">
        <f t="shared" si="0"/>
        <v>0926/2019</v>
      </c>
    </row>
    <row r="52" spans="2:3" x14ac:dyDescent="0.25">
      <c r="B52" s="4" t="s">
        <v>1968</v>
      </c>
      <c r="C52" t="str">
        <f t="shared" si="0"/>
        <v>0926/2019</v>
      </c>
    </row>
    <row r="53" spans="2:3" x14ac:dyDescent="0.25">
      <c r="B53" s="5" t="s">
        <v>1973</v>
      </c>
      <c r="C53" t="str">
        <f t="shared" si="0"/>
        <v>0926/2019</v>
      </c>
    </row>
    <row r="54" spans="2:3" x14ac:dyDescent="0.25">
      <c r="B54" s="4" t="s">
        <v>2248</v>
      </c>
      <c r="C54" t="str">
        <f t="shared" si="0"/>
        <v>0926/2019</v>
      </c>
    </row>
    <row r="55" spans="2:3" x14ac:dyDescent="0.25">
      <c r="B55" s="5" t="s">
        <v>1978</v>
      </c>
      <c r="C55" t="str">
        <f t="shared" si="0"/>
        <v>0926/2019</v>
      </c>
    </row>
    <row r="56" spans="2:3" x14ac:dyDescent="0.25">
      <c r="B56" s="4" t="s">
        <v>1982</v>
      </c>
      <c r="C56" t="str">
        <f t="shared" si="0"/>
        <v>0926/2019</v>
      </c>
    </row>
    <row r="57" spans="2:3" x14ac:dyDescent="0.25">
      <c r="B57" s="5" t="s">
        <v>1987</v>
      </c>
      <c r="C57" t="str">
        <f t="shared" si="0"/>
        <v>0926/2019</v>
      </c>
    </row>
    <row r="58" spans="2:3" x14ac:dyDescent="0.25">
      <c r="B58" s="4" t="s">
        <v>1953</v>
      </c>
      <c r="C58" t="str">
        <f t="shared" si="0"/>
        <v>0926/2019</v>
      </c>
    </row>
    <row r="59" spans="2:3" x14ac:dyDescent="0.25">
      <c r="B59" s="5" t="s">
        <v>1994</v>
      </c>
      <c r="C59" t="str">
        <f t="shared" si="0"/>
        <v>1003/2019</v>
      </c>
    </row>
    <row r="60" spans="2:3" x14ac:dyDescent="0.25">
      <c r="B60" s="4" t="s">
        <v>2000</v>
      </c>
      <c r="C60" t="str">
        <f t="shared" si="0"/>
        <v>0926/2019</v>
      </c>
    </row>
    <row r="61" spans="2:3" x14ac:dyDescent="0.25">
      <c r="B61" s="5" t="s">
        <v>2004</v>
      </c>
      <c r="C61" t="str">
        <f t="shared" si="0"/>
        <v>0926/2019</v>
      </c>
    </row>
    <row r="62" spans="2:3" x14ac:dyDescent="0.25">
      <c r="B62" s="4" t="s">
        <v>2013</v>
      </c>
      <c r="C62" t="str">
        <f t="shared" si="0"/>
        <v>0926/2019</v>
      </c>
    </row>
    <row r="63" spans="2:3" x14ac:dyDescent="0.25">
      <c r="B63" s="5" t="s">
        <v>2008</v>
      </c>
      <c r="C63" t="str">
        <f t="shared" si="0"/>
        <v>0926/2019</v>
      </c>
    </row>
    <row r="64" spans="2:3" x14ac:dyDescent="0.25">
      <c r="B64" s="4" t="s">
        <v>2017</v>
      </c>
      <c r="C64" t="str">
        <f t="shared" si="0"/>
        <v>0926/2019</v>
      </c>
    </row>
    <row r="65" spans="2:3" x14ac:dyDescent="0.25">
      <c r="B65" s="5" t="s">
        <v>2021</v>
      </c>
      <c r="C65" t="str">
        <f t="shared" si="0"/>
        <v>0926/2019</v>
      </c>
    </row>
    <row r="66" spans="2:3" x14ac:dyDescent="0.25">
      <c r="B66" s="4" t="s">
        <v>2253</v>
      </c>
      <c r="C66" t="str">
        <f t="shared" si="0"/>
        <v>0926/2019</v>
      </c>
    </row>
    <row r="67" spans="2:3" x14ac:dyDescent="0.25">
      <c r="B67" s="5" t="s">
        <v>2030</v>
      </c>
      <c r="C67" t="str">
        <f t="shared" ref="C67:C130" si="1" xml:space="preserve"> TEXT(DATEVALUE(LEFT(B67,10)),"MMDD/YYYY")</f>
        <v>0926/2019</v>
      </c>
    </row>
    <row r="68" spans="2:3" x14ac:dyDescent="0.25">
      <c r="B68" s="4" t="s">
        <v>2041</v>
      </c>
      <c r="C68" t="str">
        <f t="shared" si="1"/>
        <v>0926/2019</v>
      </c>
    </row>
    <row r="69" spans="2:3" x14ac:dyDescent="0.25">
      <c r="B69" s="5" t="s">
        <v>2026</v>
      </c>
      <c r="C69" t="str">
        <f t="shared" si="1"/>
        <v>0926/2019</v>
      </c>
    </row>
    <row r="70" spans="2:3" x14ac:dyDescent="0.25">
      <c r="B70" s="4" t="s">
        <v>2050</v>
      </c>
      <c r="C70" t="str">
        <f t="shared" si="1"/>
        <v>0926/2019</v>
      </c>
    </row>
    <row r="71" spans="2:3" x14ac:dyDescent="0.25">
      <c r="B71" s="5" t="s">
        <v>2055</v>
      </c>
      <c r="C71" t="str">
        <f t="shared" si="1"/>
        <v>0926/2019</v>
      </c>
    </row>
    <row r="72" spans="2:3" x14ac:dyDescent="0.25">
      <c r="B72" s="4" t="s">
        <v>2060</v>
      </c>
      <c r="C72" t="str">
        <f t="shared" si="1"/>
        <v>0926/2019</v>
      </c>
    </row>
    <row r="73" spans="2:3" x14ac:dyDescent="0.25">
      <c r="B73" s="5" t="s">
        <v>2065</v>
      </c>
      <c r="C73" t="str">
        <f t="shared" si="1"/>
        <v>0926/2019</v>
      </c>
    </row>
    <row r="74" spans="2:3" x14ac:dyDescent="0.25">
      <c r="B74" s="4" t="s">
        <v>2046</v>
      </c>
      <c r="C74" t="str">
        <f t="shared" si="1"/>
        <v>0926/2019</v>
      </c>
    </row>
    <row r="75" spans="2:3" x14ac:dyDescent="0.25">
      <c r="B75" s="5" t="s">
        <v>2069</v>
      </c>
      <c r="C75" t="str">
        <f t="shared" si="1"/>
        <v>0926/2019</v>
      </c>
    </row>
    <row r="76" spans="2:3" x14ac:dyDescent="0.25">
      <c r="B76" s="4" t="s">
        <v>2078</v>
      </c>
      <c r="C76" t="str">
        <f t="shared" si="1"/>
        <v>0926/2019</v>
      </c>
    </row>
    <row r="77" spans="2:3" x14ac:dyDescent="0.25">
      <c r="B77" s="5" t="s">
        <v>2074</v>
      </c>
      <c r="C77" t="str">
        <f t="shared" si="1"/>
        <v>0926/2019</v>
      </c>
    </row>
    <row r="78" spans="2:3" x14ac:dyDescent="0.25">
      <c r="B78" s="4" t="s">
        <v>2093</v>
      </c>
      <c r="C78" t="str">
        <f t="shared" si="1"/>
        <v>0926/2019</v>
      </c>
    </row>
    <row r="79" spans="2:3" x14ac:dyDescent="0.25">
      <c r="B79" s="5" t="s">
        <v>2102</v>
      </c>
      <c r="C79" t="str">
        <f t="shared" si="1"/>
        <v>0926/2019</v>
      </c>
    </row>
    <row r="80" spans="2:3" x14ac:dyDescent="0.25">
      <c r="B80" s="4" t="s">
        <v>2083</v>
      </c>
      <c r="C80" t="str">
        <f t="shared" si="1"/>
        <v>0926/2019</v>
      </c>
    </row>
    <row r="81" spans="2:3" x14ac:dyDescent="0.25">
      <c r="B81" s="5" t="s">
        <v>2114</v>
      </c>
      <c r="C81" t="str">
        <f t="shared" si="1"/>
        <v>0926/2019</v>
      </c>
    </row>
    <row r="82" spans="2:3" x14ac:dyDescent="0.25">
      <c r="B82" s="4" t="s">
        <v>2117</v>
      </c>
      <c r="C82" t="str">
        <f t="shared" si="1"/>
        <v>0926/2019</v>
      </c>
    </row>
    <row r="83" spans="2:3" x14ac:dyDescent="0.25">
      <c r="B83" s="5" t="s">
        <v>2122</v>
      </c>
      <c r="C83" t="str">
        <f t="shared" si="1"/>
        <v>0926/2019</v>
      </c>
    </row>
    <row r="84" spans="2:3" x14ac:dyDescent="0.25">
      <c r="B84" s="4" t="s">
        <v>2110</v>
      </c>
      <c r="C84" t="str">
        <f t="shared" si="1"/>
        <v>0926/2019</v>
      </c>
    </row>
    <row r="85" spans="2:3" x14ac:dyDescent="0.25">
      <c r="B85" s="5" t="s">
        <v>2132</v>
      </c>
      <c r="C85" t="str">
        <f t="shared" si="1"/>
        <v>0926/2019</v>
      </c>
    </row>
    <row r="86" spans="2:3" x14ac:dyDescent="0.25">
      <c r="B86" s="4" t="s">
        <v>2128</v>
      </c>
      <c r="C86" t="str">
        <f t="shared" si="1"/>
        <v>0926/2019</v>
      </c>
    </row>
    <row r="87" spans="2:3" x14ac:dyDescent="0.25">
      <c r="B87" s="5" t="s">
        <v>2257</v>
      </c>
      <c r="C87" t="str">
        <f t="shared" si="1"/>
        <v>0926/2019</v>
      </c>
    </row>
    <row r="88" spans="2:3" x14ac:dyDescent="0.25">
      <c r="B88" s="4" t="s">
        <v>2143</v>
      </c>
      <c r="C88" t="str">
        <f t="shared" si="1"/>
        <v>0926/2019</v>
      </c>
    </row>
    <row r="89" spans="2:3" x14ac:dyDescent="0.25">
      <c r="B89" s="5" t="s">
        <v>2138</v>
      </c>
      <c r="C89" t="str">
        <f t="shared" si="1"/>
        <v>0926/2019</v>
      </c>
    </row>
    <row r="90" spans="2:3" x14ac:dyDescent="0.25">
      <c r="B90" s="4" t="s">
        <v>2152</v>
      </c>
      <c r="C90" t="str">
        <f t="shared" si="1"/>
        <v>0926/2019</v>
      </c>
    </row>
    <row r="91" spans="2:3" x14ac:dyDescent="0.25">
      <c r="B91" s="5" t="s">
        <v>2148</v>
      </c>
      <c r="C91" t="str">
        <f t="shared" si="1"/>
        <v>0926/2019</v>
      </c>
    </row>
    <row r="92" spans="2:3" x14ac:dyDescent="0.25">
      <c r="B92" s="4" t="s">
        <v>2262</v>
      </c>
      <c r="C92" t="str">
        <f t="shared" si="1"/>
        <v>0926/2019</v>
      </c>
    </row>
    <row r="93" spans="2:3" x14ac:dyDescent="0.25">
      <c r="B93" s="5" t="s">
        <v>2162</v>
      </c>
      <c r="C93" t="str">
        <f t="shared" si="1"/>
        <v>0926/2019</v>
      </c>
    </row>
    <row r="94" spans="2:3" x14ac:dyDescent="0.25">
      <c r="B94" s="4" t="s">
        <v>2157</v>
      </c>
      <c r="C94" t="str">
        <f t="shared" si="1"/>
        <v>0926/2019</v>
      </c>
    </row>
    <row r="95" spans="2:3" x14ac:dyDescent="0.25">
      <c r="B95" s="5" t="s">
        <v>2172</v>
      </c>
      <c r="C95" t="str">
        <f t="shared" si="1"/>
        <v>0926/2019</v>
      </c>
    </row>
    <row r="96" spans="2:3" x14ac:dyDescent="0.25">
      <c r="B96" s="4" t="s">
        <v>2167</v>
      </c>
      <c r="C96" t="str">
        <f t="shared" si="1"/>
        <v>0926/2019</v>
      </c>
    </row>
    <row r="97" spans="2:3" x14ac:dyDescent="0.25">
      <c r="B97" s="5" t="s">
        <v>2176</v>
      </c>
      <c r="C97" t="str">
        <f t="shared" si="1"/>
        <v>0926/2019</v>
      </c>
    </row>
    <row r="98" spans="2:3" x14ac:dyDescent="0.25">
      <c r="B98" s="4" t="s">
        <v>2184</v>
      </c>
      <c r="C98" t="str">
        <f t="shared" si="1"/>
        <v>0926/2019</v>
      </c>
    </row>
    <row r="99" spans="2:3" x14ac:dyDescent="0.25">
      <c r="B99" s="5" t="s">
        <v>2181</v>
      </c>
      <c r="C99" t="str">
        <f t="shared" si="1"/>
        <v>0926/2019</v>
      </c>
    </row>
    <row r="100" spans="2:3" x14ac:dyDescent="0.25">
      <c r="B100" s="4" t="s">
        <v>2194</v>
      </c>
      <c r="C100" t="str">
        <f t="shared" si="1"/>
        <v>0926/2019</v>
      </c>
    </row>
    <row r="101" spans="2:3" x14ac:dyDescent="0.25">
      <c r="B101" s="5" t="s">
        <v>2189</v>
      </c>
      <c r="C101" t="str">
        <f t="shared" si="1"/>
        <v>0926/2019</v>
      </c>
    </row>
    <row r="102" spans="2:3" x14ac:dyDescent="0.25">
      <c r="B102" s="4" t="s">
        <v>2202</v>
      </c>
      <c r="C102" t="str">
        <f t="shared" si="1"/>
        <v>0926/2019</v>
      </c>
    </row>
    <row r="103" spans="2:3" x14ac:dyDescent="0.25">
      <c r="B103" s="5" t="s">
        <v>2266</v>
      </c>
      <c r="C103" t="str">
        <f t="shared" si="1"/>
        <v>0926/2019</v>
      </c>
    </row>
    <row r="104" spans="2:3" x14ac:dyDescent="0.25">
      <c r="B104" s="4" t="s">
        <v>2198</v>
      </c>
      <c r="C104" t="str">
        <f t="shared" si="1"/>
        <v>0926/2019</v>
      </c>
    </row>
    <row r="105" spans="2:3" x14ac:dyDescent="0.25">
      <c r="B105" s="5" t="s">
        <v>2212</v>
      </c>
      <c r="C105" t="str">
        <f t="shared" si="1"/>
        <v>0926/2019</v>
      </c>
    </row>
    <row r="106" spans="2:3" x14ac:dyDescent="0.25">
      <c r="B106" s="4" t="s">
        <v>2217</v>
      </c>
      <c r="C106" t="str">
        <f t="shared" si="1"/>
        <v>0926/2019</v>
      </c>
    </row>
    <row r="107" spans="2:3" x14ac:dyDescent="0.25">
      <c r="B107" s="5" t="s">
        <v>2221</v>
      </c>
      <c r="C107" t="str">
        <f t="shared" si="1"/>
        <v>0926/2019</v>
      </c>
    </row>
    <row r="108" spans="2:3" x14ac:dyDescent="0.25">
      <c r="B108" s="4" t="s">
        <v>2277</v>
      </c>
      <c r="C108" t="str">
        <f t="shared" si="1"/>
        <v>0926/2019</v>
      </c>
    </row>
    <row r="109" spans="2:3" x14ac:dyDescent="0.25">
      <c r="B109" s="5" t="s">
        <v>2225</v>
      </c>
      <c r="C109" t="str">
        <f t="shared" si="1"/>
        <v>0926/2019</v>
      </c>
    </row>
    <row r="110" spans="2:3" x14ac:dyDescent="0.25">
      <c r="B110" s="4" t="s">
        <v>2229</v>
      </c>
      <c r="C110" t="str">
        <f t="shared" si="1"/>
        <v>0926/2019</v>
      </c>
    </row>
    <row r="111" spans="2:3" x14ac:dyDescent="0.25">
      <c r="B111" s="5" t="s">
        <v>2234</v>
      </c>
      <c r="C111" t="str">
        <f t="shared" si="1"/>
        <v>0926/2019</v>
      </c>
    </row>
    <row r="112" spans="2:3" x14ac:dyDescent="0.25">
      <c r="B112" s="4" t="s">
        <v>2207</v>
      </c>
      <c r="C112" t="str">
        <f t="shared" si="1"/>
        <v>0926/2019</v>
      </c>
    </row>
    <row r="113" spans="2:3" x14ac:dyDescent="0.25">
      <c r="B113" s="5" t="s">
        <v>2239</v>
      </c>
      <c r="C113" t="str">
        <f t="shared" si="1"/>
        <v>0926/2019</v>
      </c>
    </row>
    <row r="114" spans="2:3" x14ac:dyDescent="0.25">
      <c r="B114" s="4" t="s">
        <v>1801</v>
      </c>
      <c r="C114" t="str">
        <f t="shared" si="1"/>
        <v>1025/2019</v>
      </c>
    </row>
    <row r="115" spans="2:3" x14ac:dyDescent="0.25">
      <c r="B115" s="5" t="s">
        <v>1805</v>
      </c>
      <c r="C115" t="str">
        <f t="shared" si="1"/>
        <v>1025/2019</v>
      </c>
    </row>
    <row r="116" spans="2:3" x14ac:dyDescent="0.25">
      <c r="B116" s="4" t="s">
        <v>1810</v>
      </c>
      <c r="C116" t="str">
        <f t="shared" si="1"/>
        <v>1025/2019</v>
      </c>
    </row>
    <row r="117" spans="2:3" x14ac:dyDescent="0.25">
      <c r="B117" s="5" t="s">
        <v>1815</v>
      </c>
      <c r="C117" t="str">
        <f t="shared" si="1"/>
        <v>1025/2019</v>
      </c>
    </row>
    <row r="118" spans="2:3" x14ac:dyDescent="0.25">
      <c r="B118" s="4" t="s">
        <v>1819</v>
      </c>
      <c r="C118" t="str">
        <f t="shared" si="1"/>
        <v>1025/2019</v>
      </c>
    </row>
    <row r="119" spans="2:3" x14ac:dyDescent="0.25">
      <c r="B119" s="5" t="s">
        <v>1872</v>
      </c>
      <c r="C119" t="str">
        <f t="shared" si="1"/>
        <v>1025/2019</v>
      </c>
    </row>
    <row r="120" spans="2:3" x14ac:dyDescent="0.25">
      <c r="B120" s="4" t="s">
        <v>1824</v>
      </c>
      <c r="C120" t="str">
        <f t="shared" si="1"/>
        <v>1025/2019</v>
      </c>
    </row>
    <row r="121" spans="2:3" x14ac:dyDescent="0.25">
      <c r="B121" s="5" t="s">
        <v>1828</v>
      </c>
      <c r="C121" t="str">
        <f t="shared" si="1"/>
        <v>1025/2019</v>
      </c>
    </row>
    <row r="122" spans="2:3" x14ac:dyDescent="0.25">
      <c r="B122" s="4" t="s">
        <v>1832</v>
      </c>
      <c r="C122" t="str">
        <f t="shared" si="1"/>
        <v>1025/2019</v>
      </c>
    </row>
    <row r="123" spans="2:3" x14ac:dyDescent="0.25">
      <c r="B123" s="5" t="s">
        <v>1837</v>
      </c>
      <c r="C123" t="str">
        <f t="shared" si="1"/>
        <v>1025/2019</v>
      </c>
    </row>
    <row r="124" spans="2:3" x14ac:dyDescent="0.25">
      <c r="B124" s="4" t="s">
        <v>1841</v>
      </c>
      <c r="C124" t="str">
        <f t="shared" si="1"/>
        <v>1025/2019</v>
      </c>
    </row>
    <row r="125" spans="2:3" x14ac:dyDescent="0.25">
      <c r="B125" s="5" t="s">
        <v>1846</v>
      </c>
      <c r="C125" t="str">
        <f t="shared" si="1"/>
        <v>1025/2019</v>
      </c>
    </row>
    <row r="126" spans="2:3" x14ac:dyDescent="0.25">
      <c r="B126" s="4" t="s">
        <v>1882</v>
      </c>
      <c r="C126" t="str">
        <f t="shared" si="1"/>
        <v>1025/2019</v>
      </c>
    </row>
    <row r="127" spans="2:3" x14ac:dyDescent="0.25">
      <c r="B127" s="5" t="s">
        <v>1886</v>
      </c>
      <c r="C127" t="str">
        <f t="shared" si="1"/>
        <v>1025/2019</v>
      </c>
    </row>
    <row r="128" spans="2:3" x14ac:dyDescent="0.25">
      <c r="B128" s="4" t="s">
        <v>1891</v>
      </c>
      <c r="C128" t="str">
        <f t="shared" si="1"/>
        <v>1025/2019</v>
      </c>
    </row>
    <row r="129" spans="2:3" x14ac:dyDescent="0.25">
      <c r="B129" s="5" t="s">
        <v>1850</v>
      </c>
      <c r="C129" t="str">
        <f t="shared" si="1"/>
        <v>1025/2019</v>
      </c>
    </row>
    <row r="130" spans="2:3" x14ac:dyDescent="0.25">
      <c r="B130" s="4" t="s">
        <v>1896</v>
      </c>
      <c r="C130" t="str">
        <f t="shared" si="1"/>
        <v>1025/2019</v>
      </c>
    </row>
    <row r="131" spans="2:3" x14ac:dyDescent="0.25">
      <c r="B131" s="5" t="s">
        <v>1854</v>
      </c>
      <c r="C131" t="str">
        <f t="shared" ref="C131:C159" si="2" xml:space="preserve"> TEXT(DATEVALUE(LEFT(B131,10)),"MMDD/YYYY")</f>
        <v>1025/2019</v>
      </c>
    </row>
    <row r="132" spans="2:3" x14ac:dyDescent="0.25">
      <c r="B132" s="4" t="s">
        <v>1899</v>
      </c>
      <c r="C132" t="str">
        <f t="shared" si="2"/>
        <v>1025/2019</v>
      </c>
    </row>
    <row r="133" spans="2:3" x14ac:dyDescent="0.25">
      <c r="B133" s="5" t="s">
        <v>1858</v>
      </c>
      <c r="C133" t="str">
        <f t="shared" si="2"/>
        <v>1025/2019</v>
      </c>
    </row>
    <row r="134" spans="2:3" x14ac:dyDescent="0.25">
      <c r="B134" s="4" t="s">
        <v>1903</v>
      </c>
      <c r="C134" t="str">
        <f t="shared" si="2"/>
        <v>1025/2019</v>
      </c>
    </row>
    <row r="135" spans="2:3" x14ac:dyDescent="0.25">
      <c r="B135" s="5" t="s">
        <v>1862</v>
      </c>
      <c r="C135" t="str">
        <f t="shared" si="2"/>
        <v>1025/2019</v>
      </c>
    </row>
    <row r="136" spans="2:3" x14ac:dyDescent="0.25">
      <c r="B136" s="4" t="s">
        <v>1908</v>
      </c>
      <c r="C136" t="str">
        <f t="shared" si="2"/>
        <v>1112/2019</v>
      </c>
    </row>
    <row r="137" spans="2:3" x14ac:dyDescent="0.25">
      <c r="B137" s="5" t="s">
        <v>1361</v>
      </c>
      <c r="C137" t="str">
        <f t="shared" si="2"/>
        <v>1015/2019</v>
      </c>
    </row>
    <row r="138" spans="2:3" x14ac:dyDescent="0.25">
      <c r="B138" s="4" t="s">
        <v>1574</v>
      </c>
      <c r="C138" t="str">
        <f t="shared" si="2"/>
        <v>0926/2019</v>
      </c>
    </row>
    <row r="139" spans="2:3" x14ac:dyDescent="0.25">
      <c r="B139" s="5" t="s">
        <v>38</v>
      </c>
      <c r="C139" t="str">
        <f t="shared" si="2"/>
        <v>0926/2019</v>
      </c>
    </row>
    <row r="140" spans="2:3" x14ac:dyDescent="0.25">
      <c r="B140" s="4" t="s">
        <v>47</v>
      </c>
      <c r="C140" t="str">
        <f t="shared" si="2"/>
        <v>0926/2019</v>
      </c>
    </row>
    <row r="141" spans="2:3" x14ac:dyDescent="0.25">
      <c r="B141" s="5" t="s">
        <v>1389</v>
      </c>
      <c r="C141" t="str">
        <f t="shared" si="2"/>
        <v>0926/2019</v>
      </c>
    </row>
    <row r="142" spans="2:3" x14ac:dyDescent="0.25">
      <c r="B142" s="4" t="s">
        <v>1394</v>
      </c>
      <c r="C142" t="str">
        <f t="shared" si="2"/>
        <v>0926/2019</v>
      </c>
    </row>
    <row r="143" spans="2:3" x14ac:dyDescent="0.25">
      <c r="B143" s="5" t="s">
        <v>1399</v>
      </c>
      <c r="C143" t="str">
        <f t="shared" si="2"/>
        <v>0926/2019</v>
      </c>
    </row>
    <row r="144" spans="2:3" x14ac:dyDescent="0.25">
      <c r="B144" s="4" t="s">
        <v>1404</v>
      </c>
      <c r="C144" t="str">
        <f t="shared" si="2"/>
        <v>0926/2019</v>
      </c>
    </row>
    <row r="145" spans="2:3" x14ac:dyDescent="0.25">
      <c r="B145" s="5" t="s">
        <v>1408</v>
      </c>
      <c r="C145" t="str">
        <f t="shared" si="2"/>
        <v>0926/2019</v>
      </c>
    </row>
    <row r="146" spans="2:3" x14ac:dyDescent="0.25">
      <c r="B146" s="4" t="s">
        <v>1414</v>
      </c>
      <c r="C146" t="str">
        <f t="shared" si="2"/>
        <v>0926/2019</v>
      </c>
    </row>
    <row r="147" spans="2:3" x14ac:dyDescent="0.25">
      <c r="B147" s="5" t="s">
        <v>1418</v>
      </c>
      <c r="C147" t="str">
        <f t="shared" si="2"/>
        <v>0926/2019</v>
      </c>
    </row>
    <row r="148" spans="2:3" x14ac:dyDescent="0.25">
      <c r="B148" s="4" t="s">
        <v>1422</v>
      </c>
      <c r="C148" t="str">
        <f t="shared" si="2"/>
        <v>0926/2019</v>
      </c>
    </row>
    <row r="149" spans="2:3" x14ac:dyDescent="0.25">
      <c r="B149" s="5" t="s">
        <v>1426</v>
      </c>
      <c r="C149" t="str">
        <f t="shared" si="2"/>
        <v>0926/2019</v>
      </c>
    </row>
    <row r="150" spans="2:3" x14ac:dyDescent="0.25">
      <c r="B150" s="4" t="s">
        <v>1430</v>
      </c>
      <c r="C150" t="str">
        <f t="shared" si="2"/>
        <v>0926/2019</v>
      </c>
    </row>
    <row r="151" spans="2:3" x14ac:dyDescent="0.25">
      <c r="B151" s="5" t="s">
        <v>1435</v>
      </c>
      <c r="C151" t="str">
        <f t="shared" si="2"/>
        <v>0926/2019</v>
      </c>
    </row>
    <row r="152" spans="2:3" x14ac:dyDescent="0.25">
      <c r="B152" s="4" t="s">
        <v>1440</v>
      </c>
      <c r="C152" t="str">
        <f t="shared" si="2"/>
        <v>0926/2019</v>
      </c>
    </row>
    <row r="153" spans="2:3" x14ac:dyDescent="0.25">
      <c r="B153" s="5" t="s">
        <v>1444</v>
      </c>
      <c r="C153" t="str">
        <f t="shared" si="2"/>
        <v>0926/2019</v>
      </c>
    </row>
    <row r="154" spans="2:3" x14ac:dyDescent="0.25">
      <c r="B154" s="4" t="s">
        <v>1448</v>
      </c>
      <c r="C154" t="str">
        <f t="shared" si="2"/>
        <v>0926/2019</v>
      </c>
    </row>
    <row r="155" spans="2:3" x14ac:dyDescent="0.25">
      <c r="B155" s="5" t="s">
        <v>1453</v>
      </c>
      <c r="C155" t="str">
        <f t="shared" si="2"/>
        <v>0926/2019</v>
      </c>
    </row>
    <row r="156" spans="2:3" x14ac:dyDescent="0.25">
      <c r="B156" s="4" t="s">
        <v>1458</v>
      </c>
      <c r="C156" t="str">
        <f t="shared" si="2"/>
        <v>0926/2019</v>
      </c>
    </row>
    <row r="157" spans="2:3" x14ac:dyDescent="0.25">
      <c r="B157" s="5" t="s">
        <v>1462</v>
      </c>
      <c r="C157" t="str">
        <f t="shared" si="2"/>
        <v>0926/2019</v>
      </c>
    </row>
    <row r="158" spans="2:3" x14ac:dyDescent="0.25">
      <c r="B158" s="4" t="s">
        <v>1466</v>
      </c>
      <c r="C158" t="str">
        <f t="shared" si="2"/>
        <v>0926/2019</v>
      </c>
    </row>
    <row r="159" spans="2:3" x14ac:dyDescent="0.25">
      <c r="B159" s="5" t="s">
        <v>1470</v>
      </c>
      <c r="C159" t="str">
        <f t="shared" si="2"/>
        <v>0926/2019</v>
      </c>
    </row>
    <row r="160" spans="2:3" x14ac:dyDescent="0.25">
      <c r="B160" s="4"/>
    </row>
    <row r="161" spans="2:2" x14ac:dyDescent="0.25">
      <c r="B161" s="5" t="s">
        <v>1474</v>
      </c>
    </row>
    <row r="162" spans="2:2" x14ac:dyDescent="0.25">
      <c r="B162" s="4" t="s">
        <v>1478</v>
      </c>
    </row>
    <row r="163" spans="2:2" x14ac:dyDescent="0.25">
      <c r="B163" s="5" t="s">
        <v>1482</v>
      </c>
    </row>
    <row r="164" spans="2:2" x14ac:dyDescent="0.25">
      <c r="B164" s="4" t="s">
        <v>1486</v>
      </c>
    </row>
    <row r="165" spans="2:2" x14ac:dyDescent="0.25">
      <c r="B165" s="5" t="s">
        <v>1490</v>
      </c>
    </row>
    <row r="166" spans="2:2" x14ac:dyDescent="0.25">
      <c r="B166" s="4" t="s">
        <v>1494</v>
      </c>
    </row>
    <row r="167" spans="2:2" x14ac:dyDescent="0.25">
      <c r="B167" s="5" t="s">
        <v>1498</v>
      </c>
    </row>
    <row r="168" spans="2:2" x14ac:dyDescent="0.25">
      <c r="B168" s="4" t="s">
        <v>1502</v>
      </c>
    </row>
    <row r="169" spans="2:2" x14ac:dyDescent="0.25">
      <c r="B169" s="5" t="s">
        <v>1506</v>
      </c>
    </row>
    <row r="170" spans="2:2" x14ac:dyDescent="0.25">
      <c r="B170" s="4" t="s">
        <v>1510</v>
      </c>
    </row>
    <row r="171" spans="2:2" x14ac:dyDescent="0.25">
      <c r="B171" s="5" t="s">
        <v>1303</v>
      </c>
    </row>
    <row r="172" spans="2:2" x14ac:dyDescent="0.25">
      <c r="B172" s="4" t="s">
        <v>1520</v>
      </c>
    </row>
    <row r="173" spans="2:2" x14ac:dyDescent="0.25">
      <c r="B173" s="5" t="s">
        <v>1524</v>
      </c>
    </row>
    <row r="174" spans="2:2" x14ac:dyDescent="0.25">
      <c r="B174" s="4" t="s">
        <v>1528</v>
      </c>
    </row>
    <row r="175" spans="2:2" x14ac:dyDescent="0.25">
      <c r="B175" s="5" t="s">
        <v>1531</v>
      </c>
    </row>
    <row r="176" spans="2:2" x14ac:dyDescent="0.25">
      <c r="B176" s="4" t="s">
        <v>1536</v>
      </c>
    </row>
    <row r="177" spans="2:2" x14ac:dyDescent="0.25">
      <c r="B177" s="5" t="s">
        <v>1540</v>
      </c>
    </row>
    <row r="178" spans="2:2" x14ac:dyDescent="0.25">
      <c r="B178" s="4" t="s">
        <v>1545</v>
      </c>
    </row>
    <row r="179" spans="2:2" x14ac:dyDescent="0.25">
      <c r="B179" s="5" t="s">
        <v>1314</v>
      </c>
    </row>
    <row r="180" spans="2:2" x14ac:dyDescent="0.25">
      <c r="B180" s="4" t="s">
        <v>1353</v>
      </c>
    </row>
    <row r="181" spans="2:2" x14ac:dyDescent="0.25">
      <c r="B181" s="5" t="s">
        <v>1658</v>
      </c>
    </row>
    <row r="182" spans="2:2" x14ac:dyDescent="0.25">
      <c r="B182" s="4" t="s">
        <v>1665</v>
      </c>
    </row>
    <row r="183" spans="2:2" x14ac:dyDescent="0.25">
      <c r="B183" s="5" t="s">
        <v>992</v>
      </c>
    </row>
    <row r="184" spans="2:2" x14ac:dyDescent="0.25">
      <c r="B184" s="4" t="s">
        <v>997</v>
      </c>
    </row>
    <row r="185" spans="2:2" x14ac:dyDescent="0.25">
      <c r="B185" s="5" t="s">
        <v>1017</v>
      </c>
    </row>
    <row r="186" spans="2:2" x14ac:dyDescent="0.25">
      <c r="B186" s="4" t="s">
        <v>1003</v>
      </c>
    </row>
    <row r="187" spans="2:2" x14ac:dyDescent="0.25">
      <c r="B187" s="5" t="s">
        <v>901</v>
      </c>
    </row>
    <row r="188" spans="2:2" x14ac:dyDescent="0.25">
      <c r="B188" s="4" t="s">
        <v>909</v>
      </c>
    </row>
    <row r="189" spans="2:2" x14ac:dyDescent="0.25">
      <c r="B189" s="5" t="s">
        <v>912</v>
      </c>
    </row>
    <row r="190" spans="2:2" x14ac:dyDescent="0.25">
      <c r="B190" s="4" t="s">
        <v>919</v>
      </c>
    </row>
    <row r="191" spans="2:2" x14ac:dyDescent="0.25">
      <c r="B191" s="5" t="s">
        <v>1124</v>
      </c>
    </row>
    <row r="192" spans="2:2" x14ac:dyDescent="0.25">
      <c r="B192" s="4" t="s">
        <v>924</v>
      </c>
    </row>
    <row r="193" spans="2:2" x14ac:dyDescent="0.25">
      <c r="B193" s="5" t="s">
        <v>1128</v>
      </c>
    </row>
    <row r="194" spans="2:2" x14ac:dyDescent="0.25">
      <c r="B194" s="4" t="s">
        <v>950</v>
      </c>
    </row>
    <row r="195" spans="2:2" x14ac:dyDescent="0.25">
      <c r="B195" s="5" t="s">
        <v>938</v>
      </c>
    </row>
    <row r="196" spans="2:2" x14ac:dyDescent="0.25">
      <c r="B196" s="4" t="s">
        <v>960</v>
      </c>
    </row>
    <row r="197" spans="2:2" x14ac:dyDescent="0.25">
      <c r="B197" s="5" t="s">
        <v>1131</v>
      </c>
    </row>
    <row r="198" spans="2:2" x14ac:dyDescent="0.25">
      <c r="B198" s="4" t="s">
        <v>349</v>
      </c>
    </row>
    <row r="199" spans="2:2" x14ac:dyDescent="0.25">
      <c r="B199" s="5" t="s">
        <v>331</v>
      </c>
    </row>
    <row r="200" spans="2:2" x14ac:dyDescent="0.25">
      <c r="B200" s="4" t="s">
        <v>354</v>
      </c>
    </row>
    <row r="201" spans="2:2" x14ac:dyDescent="0.25">
      <c r="B201" s="5" t="s">
        <v>337</v>
      </c>
    </row>
    <row r="202" spans="2:2" x14ac:dyDescent="0.25">
      <c r="B202" s="4" t="s">
        <v>341</v>
      </c>
    </row>
    <row r="203" spans="2:2" x14ac:dyDescent="0.25">
      <c r="B203" s="5" t="s">
        <v>345</v>
      </c>
    </row>
    <row r="204" spans="2:2" x14ac:dyDescent="0.25">
      <c r="B204" s="4" t="s">
        <v>358</v>
      </c>
    </row>
    <row r="205" spans="2:2" x14ac:dyDescent="0.25">
      <c r="B205" s="5" t="s">
        <v>362</v>
      </c>
    </row>
    <row r="206" spans="2:2" x14ac:dyDescent="0.25">
      <c r="B206" s="4" t="s">
        <v>855</v>
      </c>
    </row>
    <row r="207" spans="2:2" x14ac:dyDescent="0.25">
      <c r="B207" s="5" t="s">
        <v>827</v>
      </c>
    </row>
    <row r="208" spans="2:2" x14ac:dyDescent="0.25">
      <c r="B208" s="4" t="s">
        <v>834</v>
      </c>
    </row>
    <row r="209" spans="2:2" x14ac:dyDescent="0.25">
      <c r="B209" s="5" t="s">
        <v>859</v>
      </c>
    </row>
    <row r="210" spans="2:2" x14ac:dyDescent="0.25">
      <c r="B210" s="4" t="s">
        <v>838</v>
      </c>
    </row>
    <row r="211" spans="2:2" x14ac:dyDescent="0.25">
      <c r="B211" s="5" t="s">
        <v>842</v>
      </c>
    </row>
    <row r="212" spans="2:2" x14ac:dyDescent="0.25">
      <c r="B212" s="4" t="s">
        <v>846</v>
      </c>
    </row>
    <row r="213" spans="2:2" x14ac:dyDescent="0.25">
      <c r="B213" s="5" t="s">
        <v>851</v>
      </c>
    </row>
    <row r="214" spans="2:2" x14ac:dyDescent="0.25">
      <c r="B214" s="4" t="s">
        <v>1787</v>
      </c>
    </row>
    <row r="215" spans="2:2" x14ac:dyDescent="0.25">
      <c r="B215" s="5" t="s">
        <v>321</v>
      </c>
    </row>
    <row r="216" spans="2:2" x14ac:dyDescent="0.25">
      <c r="B216" s="4" t="s">
        <v>325</v>
      </c>
    </row>
    <row r="217" spans="2:2" x14ac:dyDescent="0.25">
      <c r="B217" s="5" t="s">
        <v>313</v>
      </c>
    </row>
    <row r="218" spans="2:2" x14ac:dyDescent="0.25">
      <c r="B218" s="4" t="s">
        <v>795</v>
      </c>
    </row>
    <row r="219" spans="2:2" x14ac:dyDescent="0.25">
      <c r="B219" s="5" t="s">
        <v>802</v>
      </c>
    </row>
    <row r="220" spans="2:2" x14ac:dyDescent="0.25">
      <c r="B220" s="4" t="s">
        <v>816</v>
      </c>
    </row>
    <row r="221" spans="2:2" x14ac:dyDescent="0.25">
      <c r="B221" s="5" t="s">
        <v>1579</v>
      </c>
    </row>
    <row r="222" spans="2:2" x14ac:dyDescent="0.25">
      <c r="B222" s="4" t="s">
        <v>1585</v>
      </c>
    </row>
    <row r="223" spans="2:2" x14ac:dyDescent="0.25">
      <c r="B223" s="5" t="s">
        <v>1589</v>
      </c>
    </row>
    <row r="224" spans="2:2" x14ac:dyDescent="0.25">
      <c r="B224" s="4" t="s">
        <v>1593</v>
      </c>
    </row>
    <row r="225" spans="2:2" x14ac:dyDescent="0.25">
      <c r="B225" s="5" t="s">
        <v>1597</v>
      </c>
    </row>
    <row r="226" spans="2:2" x14ac:dyDescent="0.25">
      <c r="B226" s="4" t="s">
        <v>1601</v>
      </c>
    </row>
    <row r="227" spans="2:2" x14ac:dyDescent="0.25">
      <c r="B227" s="5" t="s">
        <v>1605</v>
      </c>
    </row>
    <row r="228" spans="2:2" x14ac:dyDescent="0.25">
      <c r="B228" s="4" t="s">
        <v>1609</v>
      </c>
    </row>
    <row r="229" spans="2:2" x14ac:dyDescent="0.25">
      <c r="B229" s="5" t="s">
        <v>1613</v>
      </c>
    </row>
    <row r="230" spans="2:2" x14ac:dyDescent="0.25">
      <c r="B230" s="4" t="s">
        <v>1617</v>
      </c>
    </row>
    <row r="231" spans="2:2" x14ac:dyDescent="0.25">
      <c r="B231" s="5" t="s">
        <v>1621</v>
      </c>
    </row>
    <row r="232" spans="2:2" x14ac:dyDescent="0.25">
      <c r="B232" s="4" t="s">
        <v>1625</v>
      </c>
    </row>
    <row r="233" spans="2:2" x14ac:dyDescent="0.25">
      <c r="B233" s="5" t="s">
        <v>1629</v>
      </c>
    </row>
    <row r="234" spans="2:2" x14ac:dyDescent="0.25">
      <c r="B234" s="4" t="s">
        <v>1633</v>
      </c>
    </row>
    <row r="235" spans="2:2" x14ac:dyDescent="0.25">
      <c r="B235" s="5" t="s">
        <v>1637</v>
      </c>
    </row>
    <row r="236" spans="2:2" x14ac:dyDescent="0.25">
      <c r="B236" s="4" t="s">
        <v>1641</v>
      </c>
    </row>
    <row r="237" spans="2:2" x14ac:dyDescent="0.25">
      <c r="B237" s="5" t="s">
        <v>1645</v>
      </c>
    </row>
    <row r="238" spans="2:2" x14ac:dyDescent="0.25">
      <c r="B238" s="4" t="s">
        <v>1649</v>
      </c>
    </row>
    <row r="239" spans="2:2" x14ac:dyDescent="0.25">
      <c r="B239" s="5" t="s">
        <v>1653</v>
      </c>
    </row>
    <row r="240" spans="2:2" x14ac:dyDescent="0.25">
      <c r="B240" s="4" t="s">
        <v>1669</v>
      </c>
    </row>
    <row r="241" spans="2:2" x14ac:dyDescent="0.25">
      <c r="B241" s="5" t="s">
        <v>1673</v>
      </c>
    </row>
    <row r="242" spans="2:2" x14ac:dyDescent="0.25">
      <c r="B242" s="4" t="s">
        <v>1677</v>
      </c>
    </row>
    <row r="243" spans="2:2" x14ac:dyDescent="0.25">
      <c r="B243" s="5"/>
    </row>
    <row r="244" spans="2:2" x14ac:dyDescent="0.25">
      <c r="B244" s="4" t="s">
        <v>1681</v>
      </c>
    </row>
    <row r="245" spans="2:2" x14ac:dyDescent="0.25">
      <c r="B245" s="5" t="s">
        <v>1685</v>
      </c>
    </row>
    <row r="246" spans="2:2" x14ac:dyDescent="0.25">
      <c r="B246" s="4" t="s">
        <v>1689</v>
      </c>
    </row>
    <row r="247" spans="2:2" x14ac:dyDescent="0.25">
      <c r="B247" s="5" t="s">
        <v>1693</v>
      </c>
    </row>
    <row r="248" spans="2:2" x14ac:dyDescent="0.25">
      <c r="B248" s="4" t="s">
        <v>1697</v>
      </c>
    </row>
    <row r="249" spans="2:2" x14ac:dyDescent="0.25">
      <c r="B249" s="5" t="s">
        <v>1701</v>
      </c>
    </row>
    <row r="250" spans="2:2" x14ac:dyDescent="0.25">
      <c r="B250" s="4" t="s">
        <v>1705</v>
      </c>
    </row>
    <row r="251" spans="2:2" x14ac:dyDescent="0.25">
      <c r="B251" s="5" t="s">
        <v>1709</v>
      </c>
    </row>
    <row r="252" spans="2:2" x14ac:dyDescent="0.25">
      <c r="B252" s="4" t="s">
        <v>1713</v>
      </c>
    </row>
    <row r="253" spans="2:2" x14ac:dyDescent="0.25">
      <c r="B253" s="5" t="s">
        <v>1717</v>
      </c>
    </row>
    <row r="254" spans="2:2" x14ac:dyDescent="0.25">
      <c r="B254" s="4" t="s">
        <v>1721</v>
      </c>
    </row>
    <row r="255" spans="2:2" x14ac:dyDescent="0.25">
      <c r="B255" s="5" t="s">
        <v>1725</v>
      </c>
    </row>
    <row r="256" spans="2:2" x14ac:dyDescent="0.25">
      <c r="B256" s="4" t="s">
        <v>1729</v>
      </c>
    </row>
    <row r="257" spans="2:2" x14ac:dyDescent="0.25">
      <c r="B257" s="5" t="s">
        <v>1733</v>
      </c>
    </row>
    <row r="258" spans="2:2" x14ac:dyDescent="0.25">
      <c r="B258" s="4" t="s">
        <v>1737</v>
      </c>
    </row>
    <row r="259" spans="2:2" x14ac:dyDescent="0.25">
      <c r="B259" s="5" t="s">
        <v>1741</v>
      </c>
    </row>
    <row r="260" spans="2:2" x14ac:dyDescent="0.25">
      <c r="B260" s="4" t="s">
        <v>1745</v>
      </c>
    </row>
    <row r="261" spans="2:2" x14ac:dyDescent="0.25">
      <c r="B261" s="5" t="s">
        <v>1749</v>
      </c>
    </row>
    <row r="262" spans="2:2" x14ac:dyDescent="0.25">
      <c r="B262" s="4" t="s">
        <v>1753</v>
      </c>
    </row>
    <row r="263" spans="2:2" x14ac:dyDescent="0.25">
      <c r="B263" s="5" t="s">
        <v>1757</v>
      </c>
    </row>
    <row r="264" spans="2:2" x14ac:dyDescent="0.25">
      <c r="B264" s="4" t="s">
        <v>1761</v>
      </c>
    </row>
    <row r="265" spans="2:2" x14ac:dyDescent="0.25">
      <c r="B265" s="5" t="s">
        <v>1765</v>
      </c>
    </row>
    <row r="266" spans="2:2" x14ac:dyDescent="0.25">
      <c r="B266" s="4" t="s">
        <v>1769</v>
      </c>
    </row>
    <row r="267" spans="2:2" x14ac:dyDescent="0.25">
      <c r="B267" s="5" t="s">
        <v>1773</v>
      </c>
    </row>
    <row r="268" spans="2:2" x14ac:dyDescent="0.25">
      <c r="B268" s="4" t="s">
        <v>1777</v>
      </c>
    </row>
    <row r="269" spans="2:2" x14ac:dyDescent="0.25">
      <c r="B269" s="5" t="s">
        <v>1781</v>
      </c>
    </row>
    <row r="270" spans="2:2" x14ac:dyDescent="0.25">
      <c r="B270" s="4" t="s">
        <v>1144</v>
      </c>
    </row>
    <row r="271" spans="2:2" x14ac:dyDescent="0.25">
      <c r="B271" s="5" t="s">
        <v>1149</v>
      </c>
    </row>
    <row r="272" spans="2:2" x14ac:dyDescent="0.25">
      <c r="B272" s="4" t="s">
        <v>2281</v>
      </c>
    </row>
    <row r="273" spans="2:2" x14ac:dyDescent="0.25">
      <c r="B273" s="5" t="s">
        <v>1160</v>
      </c>
    </row>
    <row r="274" spans="2:2" x14ac:dyDescent="0.25">
      <c r="B274" s="4" t="s">
        <v>2303</v>
      </c>
    </row>
    <row r="275" spans="2:2" x14ac:dyDescent="0.25">
      <c r="B275" s="5" t="s">
        <v>1170</v>
      </c>
    </row>
    <row r="276" spans="2:2" x14ac:dyDescent="0.25">
      <c r="B276" s="4" t="s">
        <v>1175</v>
      </c>
    </row>
    <row r="277" spans="2:2" x14ac:dyDescent="0.25">
      <c r="B277" s="5" t="s">
        <v>1180</v>
      </c>
    </row>
    <row r="278" spans="2:2" x14ac:dyDescent="0.25">
      <c r="B278" s="4" t="s">
        <v>1184</v>
      </c>
    </row>
    <row r="279" spans="2:2" x14ac:dyDescent="0.25">
      <c r="B279" s="5" t="s">
        <v>1188</v>
      </c>
    </row>
    <row r="280" spans="2:2" x14ac:dyDescent="0.25">
      <c r="B280" s="4" t="s">
        <v>1193</v>
      </c>
    </row>
    <row r="281" spans="2:2" x14ac:dyDescent="0.25">
      <c r="B281" s="5" t="s">
        <v>1197</v>
      </c>
    </row>
    <row r="282" spans="2:2" x14ac:dyDescent="0.25">
      <c r="B282" s="4" t="s">
        <v>1203</v>
      </c>
    </row>
    <row r="283" spans="2:2" x14ac:dyDescent="0.25">
      <c r="B283" s="5" t="s">
        <v>1208</v>
      </c>
    </row>
    <row r="284" spans="2:2" x14ac:dyDescent="0.25">
      <c r="B284" s="4" t="s">
        <v>1213</v>
      </c>
    </row>
    <row r="285" spans="2:2" x14ac:dyDescent="0.25">
      <c r="B285" s="5" t="s">
        <v>1217</v>
      </c>
    </row>
    <row r="286" spans="2:2" x14ac:dyDescent="0.25">
      <c r="B286" s="4" t="s">
        <v>1223</v>
      </c>
    </row>
    <row r="287" spans="2:2" x14ac:dyDescent="0.25">
      <c r="B287" s="5" t="s">
        <v>2311</v>
      </c>
    </row>
    <row r="288" spans="2:2" x14ac:dyDescent="0.25">
      <c r="B288" s="4" t="s">
        <v>1233</v>
      </c>
    </row>
    <row r="289" spans="2:2" x14ac:dyDescent="0.25">
      <c r="B289" s="5" t="s">
        <v>1237</v>
      </c>
    </row>
    <row r="290" spans="2:2" x14ac:dyDescent="0.25">
      <c r="B290" s="4" t="s">
        <v>1241</v>
      </c>
    </row>
    <row r="291" spans="2:2" x14ac:dyDescent="0.25">
      <c r="B291" s="5" t="s">
        <v>1246</v>
      </c>
    </row>
    <row r="292" spans="2:2" x14ac:dyDescent="0.25">
      <c r="B292" s="4" t="s">
        <v>1251</v>
      </c>
    </row>
    <row r="293" spans="2:2" x14ac:dyDescent="0.25">
      <c r="B293" s="5" t="s">
        <v>2315</v>
      </c>
    </row>
    <row r="294" spans="2:2" x14ac:dyDescent="0.25">
      <c r="B294" s="4" t="s">
        <v>1262</v>
      </c>
    </row>
    <row r="295" spans="2:2" x14ac:dyDescent="0.25">
      <c r="B295" s="5" t="s">
        <v>1268</v>
      </c>
    </row>
    <row r="296" spans="2:2" x14ac:dyDescent="0.25">
      <c r="B296" s="4" t="s">
        <v>114</v>
      </c>
    </row>
    <row r="297" spans="2:2" x14ac:dyDescent="0.25">
      <c r="B297" s="5" t="s">
        <v>118</v>
      </c>
    </row>
    <row r="298" spans="2:2" x14ac:dyDescent="0.25">
      <c r="B298" s="4" t="s">
        <v>123</v>
      </c>
    </row>
    <row r="299" spans="2:2" x14ac:dyDescent="0.25">
      <c r="B299" s="5" t="s">
        <v>129</v>
      </c>
    </row>
    <row r="300" spans="2:2" x14ac:dyDescent="0.25">
      <c r="B300" s="4" t="s">
        <v>254</v>
      </c>
    </row>
    <row r="301" spans="2:2" x14ac:dyDescent="0.25">
      <c r="B301" s="5" t="s">
        <v>135</v>
      </c>
    </row>
    <row r="302" spans="2:2" x14ac:dyDescent="0.25">
      <c r="B302" s="4" t="s">
        <v>140</v>
      </c>
    </row>
    <row r="303" spans="2:2" x14ac:dyDescent="0.25">
      <c r="B303" s="5" t="s">
        <v>145</v>
      </c>
    </row>
    <row r="304" spans="2:2" x14ac:dyDescent="0.25">
      <c r="B304" s="4" t="s">
        <v>153</v>
      </c>
    </row>
    <row r="305" spans="2:2" x14ac:dyDescent="0.25">
      <c r="B305" s="5" t="s">
        <v>158</v>
      </c>
    </row>
    <row r="306" spans="2:2" x14ac:dyDescent="0.25">
      <c r="B306" s="4" t="s">
        <v>259</v>
      </c>
    </row>
    <row r="307" spans="2:2" x14ac:dyDescent="0.25">
      <c r="B307" s="5" t="s">
        <v>166</v>
      </c>
    </row>
    <row r="308" spans="2:2" x14ac:dyDescent="0.25">
      <c r="B308" s="4" t="s">
        <v>171</v>
      </c>
    </row>
    <row r="309" spans="2:2" x14ac:dyDescent="0.25">
      <c r="B309" s="5" t="s">
        <v>264</v>
      </c>
    </row>
    <row r="310" spans="2:2" x14ac:dyDescent="0.25">
      <c r="B310" s="4" t="s">
        <v>177</v>
      </c>
    </row>
    <row r="311" spans="2:2" x14ac:dyDescent="0.25">
      <c r="B311" s="5" t="s">
        <v>182</v>
      </c>
    </row>
    <row r="312" spans="2:2" x14ac:dyDescent="0.25">
      <c r="B312" s="4" t="s">
        <v>190</v>
      </c>
    </row>
    <row r="313" spans="2:2" x14ac:dyDescent="0.25">
      <c r="B313" s="5" t="s">
        <v>269</v>
      </c>
    </row>
    <row r="314" spans="2:2" x14ac:dyDescent="0.25">
      <c r="B314" s="4" t="s">
        <v>199</v>
      </c>
    </row>
    <row r="315" spans="2:2" x14ac:dyDescent="0.25">
      <c r="B315" s="5" t="s">
        <v>274</v>
      </c>
    </row>
    <row r="316" spans="2:2" x14ac:dyDescent="0.25">
      <c r="B316" s="4" t="s">
        <v>203</v>
      </c>
    </row>
    <row r="317" spans="2:2" x14ac:dyDescent="0.25">
      <c r="B317" s="5" t="s">
        <v>207</v>
      </c>
    </row>
    <row r="318" spans="2:2" x14ac:dyDescent="0.25">
      <c r="B318" s="4" t="s">
        <v>305</v>
      </c>
    </row>
    <row r="319" spans="2:2" x14ac:dyDescent="0.25">
      <c r="B319" s="5" t="s">
        <v>56</v>
      </c>
    </row>
    <row r="320" spans="2:2" x14ac:dyDescent="0.25">
      <c r="B320" s="4" t="s">
        <v>65</v>
      </c>
    </row>
    <row r="321" spans="2:2" x14ac:dyDescent="0.25">
      <c r="B321" s="5" t="s">
        <v>73</v>
      </c>
    </row>
    <row r="322" spans="2:2" x14ac:dyDescent="0.25">
      <c r="B322" s="4" t="s">
        <v>94</v>
      </c>
    </row>
    <row r="323" spans="2:2" x14ac:dyDescent="0.25">
      <c r="B323" s="5" t="s">
        <v>1287</v>
      </c>
    </row>
    <row r="324" spans="2:2" x14ac:dyDescent="0.25">
      <c r="B324" s="4" t="s">
        <v>1138</v>
      </c>
    </row>
    <row r="325" spans="2:2" x14ac:dyDescent="0.25">
      <c r="B325" s="5" t="s">
        <v>1318</v>
      </c>
    </row>
    <row r="326" spans="2:2" x14ac:dyDescent="0.25">
      <c r="B326" s="4" t="s">
        <v>2243</v>
      </c>
    </row>
    <row r="327" spans="2:2" x14ac:dyDescent="0.25">
      <c r="B327" s="5" t="s">
        <v>2088</v>
      </c>
    </row>
    <row r="328" spans="2:2" x14ac:dyDescent="0.25">
      <c r="B328" s="4" t="s">
        <v>1558</v>
      </c>
    </row>
    <row r="329" spans="2:2" x14ac:dyDescent="0.25">
      <c r="B329" s="5" t="s">
        <v>2098</v>
      </c>
    </row>
    <row r="330" spans="2:2" x14ac:dyDescent="0.25">
      <c r="B330" s="4" t="s">
        <v>1868</v>
      </c>
    </row>
    <row r="331" spans="2:2" x14ac:dyDescent="0.25">
      <c r="B331" s="5" t="s">
        <v>956</v>
      </c>
    </row>
    <row r="332" spans="2:2" x14ac:dyDescent="0.25">
      <c r="B332" s="4" t="s">
        <v>966</v>
      </c>
    </row>
    <row r="333" spans="2:2" x14ac:dyDescent="0.25">
      <c r="B333" s="5" t="s">
        <v>971</v>
      </c>
    </row>
    <row r="334" spans="2:2" x14ac:dyDescent="0.25">
      <c r="B334" s="4" t="s">
        <v>976</v>
      </c>
    </row>
    <row r="335" spans="2:2" x14ac:dyDescent="0.25">
      <c r="B335" s="5" t="s">
        <v>881</v>
      </c>
    </row>
    <row r="336" spans="2:2" x14ac:dyDescent="0.25">
      <c r="B336" s="4" t="s">
        <v>981</v>
      </c>
    </row>
    <row r="337" spans="2:2" x14ac:dyDescent="0.25">
      <c r="B337" s="5" t="s">
        <v>986</v>
      </c>
    </row>
    <row r="338" spans="2:2" x14ac:dyDescent="0.25">
      <c r="B338" s="4" t="s">
        <v>1038</v>
      </c>
    </row>
    <row r="339" spans="2:2" x14ac:dyDescent="0.25">
      <c r="B339" s="5" t="s">
        <v>1011</v>
      </c>
    </row>
    <row r="340" spans="2:2" x14ac:dyDescent="0.25">
      <c r="B340" s="4" t="s">
        <v>1023</v>
      </c>
    </row>
    <row r="341" spans="2:2" x14ac:dyDescent="0.25">
      <c r="B341" s="5" t="s">
        <v>1027</v>
      </c>
    </row>
    <row r="342" spans="2:2" x14ac:dyDescent="0.25">
      <c r="B342" s="4" t="s">
        <v>1032</v>
      </c>
    </row>
    <row r="343" spans="2:2" x14ac:dyDescent="0.25">
      <c r="B343" s="5" t="s">
        <v>1043</v>
      </c>
    </row>
    <row r="344" spans="2:2" x14ac:dyDescent="0.25">
      <c r="B344" s="4" t="s">
        <v>1048</v>
      </c>
    </row>
    <row r="345" spans="2:2" x14ac:dyDescent="0.25">
      <c r="B345" s="5" t="s">
        <v>1053</v>
      </c>
    </row>
    <row r="346" spans="2:2" x14ac:dyDescent="0.25">
      <c r="B346" s="4" t="s">
        <v>1058</v>
      </c>
    </row>
    <row r="347" spans="2:2" x14ac:dyDescent="0.25">
      <c r="B347" s="5" t="s">
        <v>1063</v>
      </c>
    </row>
    <row r="348" spans="2:2" x14ac:dyDescent="0.25">
      <c r="B348" s="4" t="s">
        <v>1088</v>
      </c>
    </row>
    <row r="349" spans="2:2" x14ac:dyDescent="0.25">
      <c r="B349" s="5" t="s">
        <v>1093</v>
      </c>
    </row>
    <row r="350" spans="2:2" x14ac:dyDescent="0.25">
      <c r="B350" s="4" t="s">
        <v>1098</v>
      </c>
    </row>
    <row r="351" spans="2:2" x14ac:dyDescent="0.25">
      <c r="B351" s="5" t="s">
        <v>1068</v>
      </c>
    </row>
    <row r="352" spans="2:2" x14ac:dyDescent="0.25">
      <c r="B352" s="4" t="s">
        <v>1072</v>
      </c>
    </row>
    <row r="353" spans="2:2" x14ac:dyDescent="0.25">
      <c r="B353" s="5" t="s">
        <v>1077</v>
      </c>
    </row>
    <row r="354" spans="2:2" x14ac:dyDescent="0.25">
      <c r="B354" s="4" t="s">
        <v>1082</v>
      </c>
    </row>
    <row r="355" spans="2:2" x14ac:dyDescent="0.25">
      <c r="B355" s="5" t="s">
        <v>1103</v>
      </c>
    </row>
    <row r="356" spans="2:2" x14ac:dyDescent="0.25">
      <c r="B356" s="4" t="s">
        <v>1108</v>
      </c>
    </row>
    <row r="357" spans="2:2" x14ac:dyDescent="0.25">
      <c r="B357" s="5" t="s">
        <v>1114</v>
      </c>
    </row>
    <row r="358" spans="2:2" x14ac:dyDescent="0.25">
      <c r="B358" s="4" t="s">
        <v>1119</v>
      </c>
    </row>
    <row r="359" spans="2:2" x14ac:dyDescent="0.25">
      <c r="B359" s="5" t="s">
        <v>213</v>
      </c>
    </row>
    <row r="360" spans="2:2" x14ac:dyDescent="0.25">
      <c r="B360" s="4" t="s">
        <v>222</v>
      </c>
    </row>
    <row r="361" spans="2:2" x14ac:dyDescent="0.25">
      <c r="B361" s="5" t="s">
        <v>231</v>
      </c>
    </row>
    <row r="362" spans="2:2" x14ac:dyDescent="0.25">
      <c r="B362" s="4" t="s">
        <v>1564</v>
      </c>
    </row>
    <row r="363" spans="2:2" x14ac:dyDescent="0.25">
      <c r="B363" s="5" t="s">
        <v>2273</v>
      </c>
    </row>
    <row r="364" spans="2:2" x14ac:dyDescent="0.25">
      <c r="B364" s="4" t="s">
        <v>2286</v>
      </c>
    </row>
    <row r="365" spans="2:2" x14ac:dyDescent="0.25">
      <c r="B365" s="5" t="s">
        <v>2036</v>
      </c>
    </row>
    <row r="366" spans="2:2" x14ac:dyDescent="0.25">
      <c r="B366" s="4" t="s">
        <v>2292</v>
      </c>
    </row>
    <row r="367" spans="2:2" x14ac:dyDescent="0.25">
      <c r="B367" s="5" t="s">
        <v>1552</v>
      </c>
    </row>
    <row r="368" spans="2:2" x14ac:dyDescent="0.25">
      <c r="B368" s="4" t="s">
        <v>1877</v>
      </c>
    </row>
    <row r="369" spans="2:2" x14ac:dyDescent="0.25">
      <c r="B369" s="5" t="s">
        <v>875</v>
      </c>
    </row>
    <row r="370" spans="2:2" x14ac:dyDescent="0.25">
      <c r="B370" s="4" t="s">
        <v>931</v>
      </c>
    </row>
    <row r="371" spans="2:2" x14ac:dyDescent="0.25">
      <c r="B371" s="5" t="s">
        <v>945</v>
      </c>
    </row>
    <row r="372" spans="2:2" x14ac:dyDescent="0.25">
      <c r="B372" s="4" t="s">
        <v>403</v>
      </c>
    </row>
    <row r="373" spans="2:2" x14ac:dyDescent="0.25">
      <c r="B373" s="5" t="s">
        <v>789</v>
      </c>
    </row>
    <row r="374" spans="2:2" x14ac:dyDescent="0.25">
      <c r="B374" s="4" t="s">
        <v>241</v>
      </c>
    </row>
    <row r="375" spans="2:2" x14ac:dyDescent="0.25">
      <c r="B375" s="5" t="s">
        <v>82</v>
      </c>
    </row>
    <row r="376" spans="2:2" x14ac:dyDescent="0.25">
      <c r="B376" s="4" t="s">
        <v>1293</v>
      </c>
    </row>
    <row r="377" spans="2:2" x14ac:dyDescent="0.25">
      <c r="B377" s="5" t="s">
        <v>1380</v>
      </c>
    </row>
    <row r="378" spans="2:2" x14ac:dyDescent="0.25">
      <c r="B378" s="4" t="s">
        <v>2322</v>
      </c>
    </row>
    <row r="379" spans="2:2" x14ac:dyDescent="0.25">
      <c r="B379" s="5" t="s">
        <v>2298</v>
      </c>
    </row>
    <row r="380" spans="2:2" x14ac:dyDescent="0.25">
      <c r="B380" s="4" t="s">
        <v>775</v>
      </c>
    </row>
    <row r="381" spans="2:2" x14ac:dyDescent="0.25">
      <c r="B381" s="5" t="s">
        <v>784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34CB-99D7-4993-BCA0-AA71BC60A255}">
  <dimension ref="B1:B31"/>
  <sheetViews>
    <sheetView workbookViewId="0">
      <selection activeCell="B2" sqref="B2:B31"/>
    </sheetView>
  </sheetViews>
  <sheetFormatPr defaultRowHeight="15" x14ac:dyDescent="0.25"/>
  <cols>
    <col min="2" max="2" width="25.42578125" customWidth="1"/>
  </cols>
  <sheetData>
    <row r="1" spans="2:2" x14ac:dyDescent="0.25">
      <c r="B1" t="s">
        <v>1</v>
      </c>
    </row>
    <row r="2" spans="2:2" x14ac:dyDescent="0.25">
      <c r="B2" s="6" t="s">
        <v>25</v>
      </c>
    </row>
    <row r="3" spans="2:2" x14ac:dyDescent="0.25">
      <c r="B3" t="s">
        <v>31</v>
      </c>
    </row>
    <row r="4" spans="2:2" x14ac:dyDescent="0.25">
      <c r="B4" s="7" t="s">
        <v>4</v>
      </c>
    </row>
    <row r="5" spans="2:2" x14ac:dyDescent="0.25">
      <c r="B5" s="7" t="s">
        <v>50</v>
      </c>
    </row>
    <row r="6" spans="2:2" x14ac:dyDescent="0.25">
      <c r="B6" t="s">
        <v>97</v>
      </c>
    </row>
    <row r="7" spans="2:2" x14ac:dyDescent="0.25">
      <c r="B7" t="s">
        <v>278</v>
      </c>
    </row>
    <row r="8" spans="2:2" x14ac:dyDescent="0.25">
      <c r="B8" t="s">
        <v>303</v>
      </c>
    </row>
    <row r="9" spans="2:2" x14ac:dyDescent="0.25">
      <c r="B9" t="s">
        <v>310</v>
      </c>
    </row>
    <row r="10" spans="2:2" x14ac:dyDescent="0.25">
      <c r="B10" t="s">
        <v>329</v>
      </c>
    </row>
    <row r="11" spans="2:2" x14ac:dyDescent="0.25">
      <c r="B11" t="s">
        <v>365</v>
      </c>
    </row>
    <row r="12" spans="2:2" x14ac:dyDescent="0.25">
      <c r="B12" t="s">
        <v>460</v>
      </c>
    </row>
    <row r="13" spans="2:2" x14ac:dyDescent="0.25">
      <c r="B13" t="s">
        <v>679</v>
      </c>
    </row>
    <row r="14" spans="2:2" x14ac:dyDescent="0.25">
      <c r="B14" t="s">
        <v>771</v>
      </c>
    </row>
    <row r="15" spans="2:2" x14ac:dyDescent="0.25">
      <c r="B15" t="s">
        <v>792</v>
      </c>
    </row>
    <row r="16" spans="2:2" x14ac:dyDescent="0.25">
      <c r="B16" t="s">
        <v>806</v>
      </c>
    </row>
    <row r="17" spans="2:2" x14ac:dyDescent="0.25">
      <c r="B17" t="s">
        <v>820</v>
      </c>
    </row>
    <row r="18" spans="2:2" x14ac:dyDescent="0.25">
      <c r="B18" s="7" t="s">
        <v>824</v>
      </c>
    </row>
    <row r="19" spans="2:2" x14ac:dyDescent="0.25">
      <c r="B19" t="s">
        <v>862</v>
      </c>
    </row>
    <row r="20" spans="2:2" x14ac:dyDescent="0.25">
      <c r="B20" s="17" t="s">
        <v>1007</v>
      </c>
    </row>
    <row r="21" spans="2:2" x14ac:dyDescent="0.25">
      <c r="B21" t="s">
        <v>1134</v>
      </c>
    </row>
    <row r="22" spans="2:2" x14ac:dyDescent="0.25">
      <c r="B22" s="17" t="s">
        <v>1299</v>
      </c>
    </row>
    <row r="23" spans="2:2" x14ac:dyDescent="0.25">
      <c r="B23" t="s">
        <v>1356</v>
      </c>
    </row>
    <row r="24" spans="2:2" x14ac:dyDescent="0.25">
      <c r="B24" t="s">
        <v>1367</v>
      </c>
    </row>
    <row r="25" spans="2:2" x14ac:dyDescent="0.25">
      <c r="B25" s="7" t="s">
        <v>1377</v>
      </c>
    </row>
    <row r="26" spans="2:2" x14ac:dyDescent="0.25">
      <c r="B26" s="17" t="s">
        <v>1561</v>
      </c>
    </row>
    <row r="27" spans="2:2" x14ac:dyDescent="0.25">
      <c r="B27" s="17" t="s">
        <v>1577</v>
      </c>
    </row>
    <row r="28" spans="2:2" x14ac:dyDescent="0.25">
      <c r="B28" s="17" t="s">
        <v>1656</v>
      </c>
    </row>
    <row r="29" spans="2:2" x14ac:dyDescent="0.25">
      <c r="B29" t="s">
        <v>1785</v>
      </c>
    </row>
    <row r="30" spans="2:2" x14ac:dyDescent="0.25">
      <c r="B30" t="s">
        <v>1792</v>
      </c>
    </row>
    <row r="31" spans="2:2" x14ac:dyDescent="0.25">
      <c r="B31" t="s">
        <v>2318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ABDB9-4FA6-4793-8F49-414E0D8087A9}">
  <dimension ref="A1:O446"/>
  <sheetViews>
    <sheetView topLeftCell="C1" workbookViewId="0">
      <selection activeCell="I2" sqref="I2"/>
    </sheetView>
  </sheetViews>
  <sheetFormatPr defaultRowHeight="15" x14ac:dyDescent="0.25"/>
  <cols>
    <col min="1" max="1" width="38.42578125" bestFit="1" customWidth="1"/>
    <col min="2" max="2" width="57.42578125" customWidth="1"/>
    <col min="3" max="3" width="99.85546875" customWidth="1"/>
    <col min="4" max="4" width="16.7109375" customWidth="1"/>
    <col min="5" max="5" width="19.42578125" customWidth="1"/>
    <col min="6" max="6" width="28.28515625" customWidth="1"/>
    <col min="7" max="10" width="34.85546875" customWidth="1"/>
    <col min="11" max="11" width="30.140625" customWidth="1"/>
    <col min="12" max="12" width="83.5703125" customWidth="1"/>
    <col min="13" max="13" width="47.28515625" customWidth="1"/>
    <col min="14" max="14" width="32.5703125" bestFit="1" customWidth="1"/>
    <col min="15" max="15" width="38.140625" bestFit="1" customWidth="1"/>
    <col min="16" max="16" width="15" bestFit="1" customWidth="1"/>
    <col min="17" max="17" width="81.140625" bestFit="1" customWidth="1"/>
    <col min="18" max="18" width="8.28515625" bestFit="1" customWidth="1"/>
    <col min="19" max="19" width="81.140625" bestFit="1" customWidth="1"/>
    <col min="20" max="20" width="11.28515625" bestFit="1" customWidth="1"/>
    <col min="21" max="21" width="10.5703125" bestFit="1" customWidth="1"/>
    <col min="22" max="22" width="11" bestFit="1" customWidth="1"/>
    <col min="23" max="23" width="17.5703125" bestFit="1" customWidth="1"/>
  </cols>
  <sheetData>
    <row r="1" spans="1:15" x14ac:dyDescent="0.25">
      <c r="A1" t="s">
        <v>18</v>
      </c>
      <c r="B1" t="s">
        <v>2</v>
      </c>
      <c r="C1" t="s">
        <v>15</v>
      </c>
      <c r="D1" t="s">
        <v>19</v>
      </c>
      <c r="E1" t="s">
        <v>20</v>
      </c>
      <c r="F1" t="s">
        <v>22</v>
      </c>
      <c r="G1" t="s">
        <v>14</v>
      </c>
      <c r="H1" t="s">
        <v>2401</v>
      </c>
      <c r="I1" t="s">
        <v>2402</v>
      </c>
      <c r="J1" t="s">
        <v>9</v>
      </c>
      <c r="K1" t="s">
        <v>2403</v>
      </c>
      <c r="L1" t="s">
        <v>16</v>
      </c>
      <c r="M1" t="s">
        <v>2404</v>
      </c>
      <c r="N1" t="s">
        <v>1</v>
      </c>
      <c r="O1" t="s">
        <v>17</v>
      </c>
    </row>
    <row r="2" spans="1:15" x14ac:dyDescent="0.25">
      <c r="A2" t="s">
        <v>1158</v>
      </c>
      <c r="B2" t="s">
        <v>127</v>
      </c>
      <c r="C2" t="s">
        <v>1157</v>
      </c>
      <c r="D2" t="s">
        <v>43</v>
      </c>
      <c r="E2">
        <v>435633</v>
      </c>
      <c r="F2" t="s">
        <v>44</v>
      </c>
      <c r="G2" t="s">
        <v>1156</v>
      </c>
      <c r="H2" t="str">
        <f t="shared" ref="H2:H65" si="0">TEXT(DATEVALUE(LEFT(G2,10)),"MMDD/YYYY")</f>
        <v>1025/2019</v>
      </c>
      <c r="I2" t="s">
        <v>2400</v>
      </c>
      <c r="L2" s="1" t="s">
        <v>1140</v>
      </c>
      <c r="M2" t="str">
        <f t="shared" ref="M2:M65" si="1">MID(L2, 33, 18)</f>
        <v>projectCollections</v>
      </c>
      <c r="N2" t="s">
        <v>1134</v>
      </c>
      <c r="O2" t="s">
        <v>1141</v>
      </c>
    </row>
    <row r="3" spans="1:15" x14ac:dyDescent="0.25">
      <c r="A3" t="s">
        <v>1289</v>
      </c>
      <c r="B3" t="s">
        <v>162</v>
      </c>
      <c r="C3" t="s">
        <v>1288</v>
      </c>
      <c r="D3" t="s">
        <v>43</v>
      </c>
      <c r="E3">
        <v>435658</v>
      </c>
      <c r="F3" t="s">
        <v>44</v>
      </c>
      <c r="G3" t="s">
        <v>1287</v>
      </c>
      <c r="H3" t="str">
        <f t="shared" si="0"/>
        <v>0311/2020</v>
      </c>
      <c r="I3" t="s">
        <v>2405</v>
      </c>
      <c r="L3" t="s">
        <v>1140</v>
      </c>
      <c r="M3" t="str">
        <f t="shared" si="1"/>
        <v>projectCollections</v>
      </c>
      <c r="N3" t="s">
        <v>1134</v>
      </c>
      <c r="O3" t="s">
        <v>1141</v>
      </c>
    </row>
    <row r="4" spans="1:15" x14ac:dyDescent="0.25">
      <c r="A4" t="s">
        <v>1323</v>
      </c>
      <c r="B4" t="s">
        <v>253</v>
      </c>
      <c r="C4" t="s">
        <v>1322</v>
      </c>
      <c r="D4" t="s">
        <v>43</v>
      </c>
      <c r="E4">
        <v>435635</v>
      </c>
      <c r="F4" t="s">
        <v>44</v>
      </c>
      <c r="G4" t="s">
        <v>1321</v>
      </c>
      <c r="H4" t="str">
        <f t="shared" si="0"/>
        <v>1025/2019</v>
      </c>
      <c r="I4" t="s">
        <v>2400</v>
      </c>
      <c r="L4" t="s">
        <v>1140</v>
      </c>
      <c r="M4" t="str">
        <f t="shared" si="1"/>
        <v>projectCollections</v>
      </c>
      <c r="N4" t="s">
        <v>1134</v>
      </c>
      <c r="O4" t="s">
        <v>1141</v>
      </c>
    </row>
    <row r="5" spans="1:15" x14ac:dyDescent="0.25">
      <c r="A5" t="s">
        <v>1326</v>
      </c>
      <c r="B5" t="s">
        <v>268</v>
      </c>
      <c r="C5" t="s">
        <v>1325</v>
      </c>
      <c r="D5" t="s">
        <v>43</v>
      </c>
      <c r="E5">
        <v>435636</v>
      </c>
      <c r="F5" t="s">
        <v>44</v>
      </c>
      <c r="G5" t="s">
        <v>1324</v>
      </c>
      <c r="H5" t="str">
        <f t="shared" si="0"/>
        <v>1025/2019</v>
      </c>
      <c r="I5" t="s">
        <v>2400</v>
      </c>
      <c r="L5" t="s">
        <v>1140</v>
      </c>
      <c r="M5" t="str">
        <f t="shared" si="1"/>
        <v>projectCollections</v>
      </c>
      <c r="N5" t="s">
        <v>1134</v>
      </c>
      <c r="O5" t="s">
        <v>1141</v>
      </c>
    </row>
    <row r="6" spans="1:15" x14ac:dyDescent="0.25">
      <c r="A6" t="s">
        <v>1168</v>
      </c>
      <c r="B6" t="s">
        <v>235</v>
      </c>
      <c r="C6" t="s">
        <v>1167</v>
      </c>
      <c r="D6" t="s">
        <v>43</v>
      </c>
      <c r="E6">
        <v>435637</v>
      </c>
      <c r="F6" t="s">
        <v>44</v>
      </c>
      <c r="G6" t="s">
        <v>1166</v>
      </c>
      <c r="H6" t="str">
        <f t="shared" si="0"/>
        <v>1025/2019</v>
      </c>
      <c r="I6" t="s">
        <v>2400</v>
      </c>
      <c r="L6" t="s">
        <v>1140</v>
      </c>
      <c r="M6" t="str">
        <f t="shared" si="1"/>
        <v>projectCollections</v>
      </c>
      <c r="N6" t="s">
        <v>1134</v>
      </c>
      <c r="O6" t="s">
        <v>1141</v>
      </c>
    </row>
    <row r="7" spans="1:15" x14ac:dyDescent="0.25">
      <c r="A7" t="s">
        <v>1329</v>
      </c>
      <c r="B7" t="s">
        <v>181</v>
      </c>
      <c r="C7" t="s">
        <v>1328</v>
      </c>
      <c r="D7" t="s">
        <v>43</v>
      </c>
      <c r="E7">
        <v>435638</v>
      </c>
      <c r="F7" t="s">
        <v>44</v>
      </c>
      <c r="G7" t="s">
        <v>1327</v>
      </c>
      <c r="H7" t="str">
        <f t="shared" si="0"/>
        <v>1025/2019</v>
      </c>
      <c r="I7" t="s">
        <v>2400</v>
      </c>
      <c r="L7" t="s">
        <v>1140</v>
      </c>
      <c r="M7" t="str">
        <f t="shared" si="1"/>
        <v>projectCollections</v>
      </c>
      <c r="N7" t="s">
        <v>1134</v>
      </c>
      <c r="O7" t="s">
        <v>1141</v>
      </c>
    </row>
    <row r="8" spans="1:15" x14ac:dyDescent="0.25">
      <c r="A8" t="s">
        <v>1332</v>
      </c>
      <c r="B8" t="s">
        <v>186</v>
      </c>
      <c r="C8" t="s">
        <v>1331</v>
      </c>
      <c r="D8" t="s">
        <v>43</v>
      </c>
      <c r="E8">
        <v>435639</v>
      </c>
      <c r="F8" t="s">
        <v>44</v>
      </c>
      <c r="G8" t="s">
        <v>1330</v>
      </c>
      <c r="H8" t="str">
        <f t="shared" si="0"/>
        <v>1025/2019</v>
      </c>
      <c r="I8" t="s">
        <v>2400</v>
      </c>
      <c r="L8" t="s">
        <v>1140</v>
      </c>
      <c r="M8" t="str">
        <f t="shared" si="1"/>
        <v>projectCollections</v>
      </c>
      <c r="N8" t="s">
        <v>1134</v>
      </c>
      <c r="O8" t="s">
        <v>1141</v>
      </c>
    </row>
    <row r="9" spans="1:15" x14ac:dyDescent="0.25">
      <c r="A9" t="s">
        <v>1335</v>
      </c>
      <c r="B9" t="s">
        <v>139</v>
      </c>
      <c r="C9" t="s">
        <v>1334</v>
      </c>
      <c r="D9" t="s">
        <v>43</v>
      </c>
      <c r="E9">
        <v>435640</v>
      </c>
      <c r="F9" t="s">
        <v>44</v>
      </c>
      <c r="G9" t="s">
        <v>1333</v>
      </c>
      <c r="H9" t="str">
        <f t="shared" si="0"/>
        <v>1025/2019</v>
      </c>
      <c r="I9" t="s">
        <v>2400</v>
      </c>
      <c r="L9" t="s">
        <v>1140</v>
      </c>
      <c r="M9" t="str">
        <f t="shared" si="1"/>
        <v>projectCollections</v>
      </c>
      <c r="N9" t="s">
        <v>1134</v>
      </c>
      <c r="O9" t="s">
        <v>1141</v>
      </c>
    </row>
    <row r="10" spans="1:15" x14ac:dyDescent="0.25">
      <c r="A10" t="s">
        <v>1231</v>
      </c>
      <c r="B10" t="s">
        <v>69</v>
      </c>
      <c r="C10" t="s">
        <v>1230</v>
      </c>
      <c r="D10" t="s">
        <v>43</v>
      </c>
      <c r="E10">
        <v>435641</v>
      </c>
      <c r="F10" t="s">
        <v>44</v>
      </c>
      <c r="G10" t="s">
        <v>1229</v>
      </c>
      <c r="H10" t="str">
        <f t="shared" si="0"/>
        <v>1025/2019</v>
      </c>
      <c r="I10" t="s">
        <v>2400</v>
      </c>
      <c r="L10" t="s">
        <v>1140</v>
      </c>
      <c r="M10" t="str">
        <f t="shared" si="1"/>
        <v>projectCollections</v>
      </c>
      <c r="N10" t="s">
        <v>1134</v>
      </c>
      <c r="O10" t="s">
        <v>1141</v>
      </c>
    </row>
    <row r="11" spans="1:15" x14ac:dyDescent="0.25">
      <c r="A11" t="s">
        <v>1142</v>
      </c>
      <c r="B11" t="s">
        <v>1135</v>
      </c>
      <c r="C11" t="s">
        <v>1139</v>
      </c>
      <c r="D11" t="s">
        <v>43</v>
      </c>
      <c r="E11">
        <v>435667</v>
      </c>
      <c r="F11" t="s">
        <v>44</v>
      </c>
      <c r="G11" t="s">
        <v>1138</v>
      </c>
      <c r="H11" t="str">
        <f t="shared" si="0"/>
        <v>0312/2020</v>
      </c>
      <c r="I11" t="s">
        <v>2406</v>
      </c>
      <c r="L11" t="s">
        <v>1140</v>
      </c>
      <c r="M11" t="str">
        <f t="shared" si="1"/>
        <v>projectCollections</v>
      </c>
      <c r="N11" t="s">
        <v>1134</v>
      </c>
      <c r="O11" t="s">
        <v>1141</v>
      </c>
    </row>
    <row r="12" spans="1:15" x14ac:dyDescent="0.25">
      <c r="A12" t="s">
        <v>1338</v>
      </c>
      <c r="B12" t="s">
        <v>93</v>
      </c>
      <c r="C12" t="s">
        <v>1337</v>
      </c>
      <c r="D12" t="s">
        <v>43</v>
      </c>
      <c r="E12">
        <v>435643</v>
      </c>
      <c r="F12" t="s">
        <v>44</v>
      </c>
      <c r="G12" t="s">
        <v>1336</v>
      </c>
      <c r="H12" t="str">
        <f t="shared" si="0"/>
        <v>1025/2019</v>
      </c>
      <c r="I12" t="s">
        <v>2400</v>
      </c>
      <c r="L12" t="s">
        <v>1140</v>
      </c>
      <c r="M12" t="str">
        <f t="shared" si="1"/>
        <v>projectCollections</v>
      </c>
      <c r="N12" t="s">
        <v>1134</v>
      </c>
      <c r="O12" t="s">
        <v>1141</v>
      </c>
    </row>
    <row r="13" spans="1:15" x14ac:dyDescent="0.25">
      <c r="A13" t="s">
        <v>1341</v>
      </c>
      <c r="B13" t="s">
        <v>263</v>
      </c>
      <c r="C13" t="s">
        <v>1340</v>
      </c>
      <c r="D13" t="s">
        <v>43</v>
      </c>
      <c r="E13">
        <v>435644</v>
      </c>
      <c r="F13" t="s">
        <v>44</v>
      </c>
      <c r="G13" t="s">
        <v>1339</v>
      </c>
      <c r="H13" t="str">
        <f t="shared" si="0"/>
        <v>1025/2019</v>
      </c>
      <c r="I13" t="s">
        <v>2400</v>
      </c>
      <c r="L13" t="s">
        <v>1140</v>
      </c>
      <c r="M13" t="str">
        <f t="shared" si="1"/>
        <v>projectCollections</v>
      </c>
      <c r="N13" t="s">
        <v>1134</v>
      </c>
      <c r="O13" t="s">
        <v>1141</v>
      </c>
    </row>
    <row r="14" spans="1:15" x14ac:dyDescent="0.25">
      <c r="A14" t="s">
        <v>1295</v>
      </c>
      <c r="B14" t="s">
        <v>77</v>
      </c>
      <c r="C14" t="s">
        <v>1294</v>
      </c>
      <c r="D14" t="s">
        <v>43</v>
      </c>
      <c r="E14">
        <v>435669</v>
      </c>
      <c r="F14" t="s">
        <v>44</v>
      </c>
      <c r="G14" t="s">
        <v>1293</v>
      </c>
      <c r="H14" t="str">
        <f t="shared" si="0"/>
        <v>0715/2022</v>
      </c>
      <c r="I14" t="s">
        <v>2407</v>
      </c>
      <c r="L14" t="s">
        <v>1140</v>
      </c>
      <c r="M14" t="str">
        <f t="shared" si="1"/>
        <v>projectCollections</v>
      </c>
      <c r="N14" t="s">
        <v>1134</v>
      </c>
      <c r="O14" t="s">
        <v>1141</v>
      </c>
    </row>
    <row r="15" spans="1:15" x14ac:dyDescent="0.25">
      <c r="A15" t="s">
        <v>1298</v>
      </c>
      <c r="B15" t="s">
        <v>273</v>
      </c>
      <c r="C15" t="s">
        <v>1297</v>
      </c>
      <c r="D15" t="s">
        <v>43</v>
      </c>
      <c r="E15">
        <v>435646</v>
      </c>
      <c r="F15" t="s">
        <v>44</v>
      </c>
      <c r="G15" t="s">
        <v>1296</v>
      </c>
      <c r="H15" t="str">
        <f t="shared" si="0"/>
        <v>1025/2019</v>
      </c>
      <c r="I15" t="s">
        <v>2400</v>
      </c>
      <c r="L15" t="s">
        <v>1140</v>
      </c>
      <c r="M15" t="str">
        <f t="shared" si="1"/>
        <v>projectCollections</v>
      </c>
      <c r="N15" t="s">
        <v>1134</v>
      </c>
      <c r="O15" t="s">
        <v>1141</v>
      </c>
    </row>
    <row r="16" spans="1:15" x14ac:dyDescent="0.25">
      <c r="A16" t="s">
        <v>1344</v>
      </c>
      <c r="B16" t="s">
        <v>85</v>
      </c>
      <c r="C16" t="s">
        <v>1343</v>
      </c>
      <c r="D16" t="s">
        <v>43</v>
      </c>
      <c r="E16">
        <v>435647</v>
      </c>
      <c r="F16" t="s">
        <v>44</v>
      </c>
      <c r="G16" t="s">
        <v>1342</v>
      </c>
      <c r="H16" t="str">
        <f t="shared" si="0"/>
        <v>1025/2019</v>
      </c>
      <c r="I16" t="s">
        <v>2400</v>
      </c>
      <c r="L16" t="s">
        <v>1140</v>
      </c>
      <c r="M16" t="str">
        <f t="shared" si="1"/>
        <v>projectCollections</v>
      </c>
      <c r="N16" t="s">
        <v>1134</v>
      </c>
      <c r="O16" t="s">
        <v>1141</v>
      </c>
    </row>
    <row r="17" spans="1:15" x14ac:dyDescent="0.25">
      <c r="A17" t="s">
        <v>1260</v>
      </c>
      <c r="B17" t="s">
        <v>175</v>
      </c>
      <c r="C17" t="s">
        <v>1259</v>
      </c>
      <c r="D17" t="s">
        <v>43</v>
      </c>
      <c r="E17">
        <v>435648</v>
      </c>
      <c r="F17" t="s">
        <v>44</v>
      </c>
      <c r="G17" t="s">
        <v>1258</v>
      </c>
      <c r="H17" t="str">
        <f t="shared" si="0"/>
        <v>1025/2019</v>
      </c>
      <c r="I17" t="s">
        <v>2400</v>
      </c>
      <c r="L17" t="s">
        <v>1140</v>
      </c>
      <c r="M17" t="str">
        <f t="shared" si="1"/>
        <v>projectCollections</v>
      </c>
      <c r="N17" t="s">
        <v>1134</v>
      </c>
      <c r="O17" t="s">
        <v>1141</v>
      </c>
    </row>
    <row r="18" spans="1:15" x14ac:dyDescent="0.25">
      <c r="A18" t="s">
        <v>1274</v>
      </c>
      <c r="B18" t="s">
        <v>113</v>
      </c>
      <c r="C18" t="s">
        <v>1273</v>
      </c>
      <c r="D18" t="s">
        <v>43</v>
      </c>
      <c r="E18">
        <v>435705</v>
      </c>
      <c r="F18" t="s">
        <v>44</v>
      </c>
      <c r="G18" t="s">
        <v>1272</v>
      </c>
      <c r="H18" t="str">
        <f t="shared" si="0"/>
        <v>0217/2025</v>
      </c>
      <c r="I18" t="s">
        <v>2408</v>
      </c>
      <c r="L18" t="s">
        <v>1140</v>
      </c>
      <c r="M18" t="str">
        <f t="shared" si="1"/>
        <v>projectCollections</v>
      </c>
      <c r="N18" t="s">
        <v>1134</v>
      </c>
      <c r="O18" t="s">
        <v>1141</v>
      </c>
    </row>
    <row r="19" spans="1:15" x14ac:dyDescent="0.25">
      <c r="A19" t="s">
        <v>1347</v>
      </c>
      <c r="B19" t="s">
        <v>144</v>
      </c>
      <c r="C19" t="s">
        <v>1346</v>
      </c>
      <c r="D19" t="s">
        <v>43</v>
      </c>
      <c r="E19">
        <v>435649</v>
      </c>
      <c r="F19" t="s">
        <v>44</v>
      </c>
      <c r="G19" t="s">
        <v>1345</v>
      </c>
      <c r="H19" t="str">
        <f t="shared" si="0"/>
        <v>1025/2019</v>
      </c>
      <c r="I19" t="s">
        <v>2400</v>
      </c>
      <c r="L19" t="s">
        <v>1140</v>
      </c>
      <c r="M19" t="str">
        <f t="shared" si="1"/>
        <v>projectCollections</v>
      </c>
      <c r="N19" t="s">
        <v>1134</v>
      </c>
      <c r="O19" t="s">
        <v>1141</v>
      </c>
    </row>
    <row r="20" spans="1:15" x14ac:dyDescent="0.25">
      <c r="A20" t="s">
        <v>1350</v>
      </c>
      <c r="B20" t="s">
        <v>258</v>
      </c>
      <c r="C20" t="s">
        <v>1349</v>
      </c>
      <c r="D20" t="s">
        <v>43</v>
      </c>
      <c r="E20">
        <v>435650</v>
      </c>
      <c r="F20" t="s">
        <v>44</v>
      </c>
      <c r="G20" t="s">
        <v>1348</v>
      </c>
      <c r="H20" t="str">
        <f t="shared" si="0"/>
        <v>1025/2019</v>
      </c>
      <c r="I20" t="s">
        <v>2400</v>
      </c>
      <c r="L20" t="s">
        <v>1140</v>
      </c>
      <c r="M20" t="str">
        <f t="shared" si="1"/>
        <v>projectCollections</v>
      </c>
      <c r="N20" t="s">
        <v>1134</v>
      </c>
      <c r="O20" t="s">
        <v>1141</v>
      </c>
    </row>
    <row r="21" spans="1:15" x14ac:dyDescent="0.25">
      <c r="A21" t="s">
        <v>1311</v>
      </c>
      <c r="B21" t="s">
        <v>157</v>
      </c>
      <c r="C21" t="s">
        <v>1310</v>
      </c>
      <c r="D21" t="s">
        <v>43</v>
      </c>
      <c r="E21">
        <v>435651</v>
      </c>
      <c r="F21" t="s">
        <v>44</v>
      </c>
      <c r="G21" t="s">
        <v>1309</v>
      </c>
      <c r="H21" t="str">
        <f t="shared" si="0"/>
        <v>1025/2019</v>
      </c>
      <c r="I21" t="s">
        <v>2400</v>
      </c>
      <c r="L21" t="s">
        <v>1140</v>
      </c>
      <c r="M21" t="str">
        <f t="shared" si="1"/>
        <v>projectCollections</v>
      </c>
      <c r="N21" t="s">
        <v>1134</v>
      </c>
      <c r="O21" t="s">
        <v>1141</v>
      </c>
    </row>
    <row r="22" spans="1:15" x14ac:dyDescent="0.25">
      <c r="A22" t="s">
        <v>1320</v>
      </c>
      <c r="B22" t="s">
        <v>62</v>
      </c>
      <c r="C22" t="s">
        <v>1319</v>
      </c>
      <c r="D22" t="s">
        <v>43</v>
      </c>
      <c r="E22">
        <v>435668</v>
      </c>
      <c r="F22" t="s">
        <v>44</v>
      </c>
      <c r="G22" t="s">
        <v>1318</v>
      </c>
      <c r="H22" t="str">
        <f t="shared" si="0"/>
        <v>0819/2020</v>
      </c>
      <c r="I22" t="s">
        <v>2409</v>
      </c>
      <c r="L22" t="s">
        <v>1140</v>
      </c>
      <c r="M22" t="str">
        <f t="shared" si="1"/>
        <v>projectCollections</v>
      </c>
      <c r="N22" t="s">
        <v>1134</v>
      </c>
      <c r="O22" t="s">
        <v>1141</v>
      </c>
    </row>
    <row r="23" spans="1:15" x14ac:dyDescent="0.25">
      <c r="A23" t="s">
        <v>1281</v>
      </c>
      <c r="B23" t="s">
        <v>226</v>
      </c>
      <c r="C23" t="s">
        <v>1280</v>
      </c>
      <c r="D23" t="s">
        <v>43</v>
      </c>
      <c r="E23">
        <v>435653</v>
      </c>
      <c r="F23" t="s">
        <v>44</v>
      </c>
      <c r="G23" t="s">
        <v>1279</v>
      </c>
      <c r="H23" t="str">
        <f t="shared" si="0"/>
        <v>1025/2019</v>
      </c>
      <c r="I23" t="s">
        <v>2400</v>
      </c>
      <c r="L23" t="s">
        <v>1140</v>
      </c>
      <c r="M23" t="str">
        <f t="shared" si="1"/>
        <v>projectCollections</v>
      </c>
      <c r="N23" t="s">
        <v>1134</v>
      </c>
      <c r="O23" t="s">
        <v>1141</v>
      </c>
    </row>
    <row r="24" spans="1:15" x14ac:dyDescent="0.25">
      <c r="A24" t="s">
        <v>692</v>
      </c>
      <c r="B24" t="s">
        <v>689</v>
      </c>
      <c r="C24" t="s">
        <v>691</v>
      </c>
      <c r="D24" t="s">
        <v>43</v>
      </c>
      <c r="E24">
        <v>1354497</v>
      </c>
      <c r="F24" t="s">
        <v>44</v>
      </c>
      <c r="G24" t="s">
        <v>690</v>
      </c>
      <c r="H24" t="str">
        <f t="shared" si="0"/>
        <v>0926/2019</v>
      </c>
      <c r="I24" t="s">
        <v>2410</v>
      </c>
      <c r="L24" t="s">
        <v>686</v>
      </c>
      <c r="M24" t="str">
        <f t="shared" si="1"/>
        <v>projectCollections</v>
      </c>
      <c r="N24" t="s">
        <v>679</v>
      </c>
      <c r="O24" t="s">
        <v>687</v>
      </c>
    </row>
    <row r="25" spans="1:15" x14ac:dyDescent="0.25">
      <c r="A25" t="s">
        <v>688</v>
      </c>
      <c r="B25" t="s">
        <v>680</v>
      </c>
      <c r="C25" t="s">
        <v>685</v>
      </c>
      <c r="D25" t="s">
        <v>43</v>
      </c>
      <c r="E25">
        <v>1354498</v>
      </c>
      <c r="F25" t="s">
        <v>44</v>
      </c>
      <c r="G25" t="s">
        <v>684</v>
      </c>
      <c r="H25" t="str">
        <f t="shared" si="0"/>
        <v>0926/2019</v>
      </c>
      <c r="I25" t="s">
        <v>2410</v>
      </c>
      <c r="K25" t="s">
        <v>693</v>
      </c>
      <c r="L25" t="s">
        <v>686</v>
      </c>
      <c r="M25" t="str">
        <f t="shared" si="1"/>
        <v>projectCollections</v>
      </c>
      <c r="N25" t="s">
        <v>679</v>
      </c>
      <c r="O25" t="s">
        <v>687</v>
      </c>
    </row>
    <row r="26" spans="1:15" x14ac:dyDescent="0.25">
      <c r="A26" t="s">
        <v>697</v>
      </c>
      <c r="B26" t="s">
        <v>694</v>
      </c>
      <c r="C26" t="s">
        <v>696</v>
      </c>
      <c r="D26" t="s">
        <v>43</v>
      </c>
      <c r="E26">
        <v>1354499</v>
      </c>
      <c r="F26" t="s">
        <v>44</v>
      </c>
      <c r="G26" t="s">
        <v>695</v>
      </c>
      <c r="H26" t="str">
        <f t="shared" si="0"/>
        <v>0926/2019</v>
      </c>
      <c r="I26" t="s">
        <v>2410</v>
      </c>
      <c r="L26" t="s">
        <v>686</v>
      </c>
      <c r="M26" t="str">
        <f t="shared" si="1"/>
        <v>projectCollections</v>
      </c>
      <c r="N26" t="s">
        <v>679</v>
      </c>
      <c r="O26" t="s">
        <v>687</v>
      </c>
    </row>
    <row r="27" spans="1:15" x14ac:dyDescent="0.25">
      <c r="A27" t="s">
        <v>705</v>
      </c>
      <c r="B27" t="s">
        <v>702</v>
      </c>
      <c r="C27" t="s">
        <v>704</v>
      </c>
      <c r="D27" t="s">
        <v>43</v>
      </c>
      <c r="E27">
        <v>1354500</v>
      </c>
      <c r="F27" t="s">
        <v>44</v>
      </c>
      <c r="G27" t="s">
        <v>703</v>
      </c>
      <c r="H27" t="str">
        <f t="shared" si="0"/>
        <v>0926/2019</v>
      </c>
      <c r="I27" t="s">
        <v>2410</v>
      </c>
      <c r="L27" t="s">
        <v>686</v>
      </c>
      <c r="M27" t="str">
        <f t="shared" si="1"/>
        <v>projectCollections</v>
      </c>
      <c r="N27" t="s">
        <v>679</v>
      </c>
      <c r="O27" t="s">
        <v>687</v>
      </c>
    </row>
    <row r="28" spans="1:15" x14ac:dyDescent="0.25">
      <c r="A28" t="s">
        <v>701</v>
      </c>
      <c r="B28" t="s">
        <v>698</v>
      </c>
      <c r="C28" t="s">
        <v>700</v>
      </c>
      <c r="D28" t="s">
        <v>43</v>
      </c>
      <c r="E28">
        <v>1354501</v>
      </c>
      <c r="F28" t="s">
        <v>44</v>
      </c>
      <c r="G28" t="s">
        <v>699</v>
      </c>
      <c r="H28" t="str">
        <f t="shared" si="0"/>
        <v>0926/2019</v>
      </c>
      <c r="I28" t="s">
        <v>2410</v>
      </c>
      <c r="K28" t="s">
        <v>706</v>
      </c>
      <c r="L28" t="s">
        <v>686</v>
      </c>
      <c r="M28" t="str">
        <f t="shared" si="1"/>
        <v>projectCollections</v>
      </c>
      <c r="N28" t="s">
        <v>679</v>
      </c>
      <c r="O28" t="s">
        <v>687</v>
      </c>
    </row>
    <row r="29" spans="1:15" x14ac:dyDescent="0.25">
      <c r="A29" t="s">
        <v>710</v>
      </c>
      <c r="B29" t="s">
        <v>707</v>
      </c>
      <c r="C29" t="s">
        <v>709</v>
      </c>
      <c r="D29" t="s">
        <v>43</v>
      </c>
      <c r="E29">
        <v>1354502</v>
      </c>
      <c r="F29" t="s">
        <v>44</v>
      </c>
      <c r="G29" t="s">
        <v>708</v>
      </c>
      <c r="H29" t="str">
        <f t="shared" si="0"/>
        <v>0926/2019</v>
      </c>
      <c r="I29" t="s">
        <v>2410</v>
      </c>
      <c r="L29" t="s">
        <v>686</v>
      </c>
      <c r="M29" t="str">
        <f t="shared" si="1"/>
        <v>projectCollections</v>
      </c>
      <c r="N29" t="s">
        <v>679</v>
      </c>
      <c r="O29" t="s">
        <v>687</v>
      </c>
    </row>
    <row r="30" spans="1:15" x14ac:dyDescent="0.25">
      <c r="A30" t="s">
        <v>714</v>
      </c>
      <c r="B30" t="s">
        <v>711</v>
      </c>
      <c r="C30" t="s">
        <v>713</v>
      </c>
      <c r="D30" t="s">
        <v>43</v>
      </c>
      <c r="E30">
        <v>1354503</v>
      </c>
      <c r="F30" t="s">
        <v>44</v>
      </c>
      <c r="G30" t="s">
        <v>712</v>
      </c>
      <c r="H30" t="str">
        <f t="shared" si="0"/>
        <v>0926/2019</v>
      </c>
      <c r="I30" t="s">
        <v>2410</v>
      </c>
      <c r="L30" t="s">
        <v>686</v>
      </c>
      <c r="M30" t="str">
        <f t="shared" si="1"/>
        <v>projectCollections</v>
      </c>
      <c r="N30" t="s">
        <v>679</v>
      </c>
      <c r="O30" t="s">
        <v>687</v>
      </c>
    </row>
    <row r="31" spans="1:15" x14ac:dyDescent="0.25">
      <c r="A31" t="s">
        <v>719</v>
      </c>
      <c r="B31" t="s">
        <v>716</v>
      </c>
      <c r="C31" t="s">
        <v>718</v>
      </c>
      <c r="D31" t="s">
        <v>43</v>
      </c>
      <c r="E31">
        <v>1354504</v>
      </c>
      <c r="F31" t="s">
        <v>44</v>
      </c>
      <c r="G31" t="s">
        <v>717</v>
      </c>
      <c r="H31" t="str">
        <f t="shared" si="0"/>
        <v>0926/2019</v>
      </c>
      <c r="I31" t="s">
        <v>2410</v>
      </c>
      <c r="K31" t="s">
        <v>715</v>
      </c>
      <c r="L31" t="s">
        <v>686</v>
      </c>
      <c r="M31" t="str">
        <f t="shared" si="1"/>
        <v>projectCollections</v>
      </c>
      <c r="N31" t="s">
        <v>679</v>
      </c>
      <c r="O31" t="s">
        <v>687</v>
      </c>
    </row>
    <row r="32" spans="1:15" x14ac:dyDescent="0.25">
      <c r="A32" t="s">
        <v>724</v>
      </c>
      <c r="B32" t="s">
        <v>721</v>
      </c>
      <c r="C32" t="s">
        <v>723</v>
      </c>
      <c r="D32" t="s">
        <v>43</v>
      </c>
      <c r="E32">
        <v>1354505</v>
      </c>
      <c r="F32" t="s">
        <v>44</v>
      </c>
      <c r="G32" t="s">
        <v>722</v>
      </c>
      <c r="H32" t="str">
        <f t="shared" si="0"/>
        <v>0926/2019</v>
      </c>
      <c r="I32" t="s">
        <v>2410</v>
      </c>
      <c r="K32" t="s">
        <v>720</v>
      </c>
      <c r="L32" t="s">
        <v>686</v>
      </c>
      <c r="M32" t="str">
        <f t="shared" si="1"/>
        <v>projectCollections</v>
      </c>
      <c r="N32" t="s">
        <v>679</v>
      </c>
      <c r="O32" t="s">
        <v>687</v>
      </c>
    </row>
    <row r="33" spans="1:15" x14ac:dyDescent="0.25">
      <c r="A33" t="s">
        <v>728</v>
      </c>
      <c r="B33" t="s">
        <v>725</v>
      </c>
      <c r="C33" t="s">
        <v>727</v>
      </c>
      <c r="D33" t="s">
        <v>43</v>
      </c>
      <c r="E33">
        <v>1354506</v>
      </c>
      <c r="F33" t="s">
        <v>44</v>
      </c>
      <c r="G33" t="s">
        <v>726</v>
      </c>
      <c r="H33" t="str">
        <f t="shared" si="0"/>
        <v>0926/2019</v>
      </c>
      <c r="I33" t="s">
        <v>2410</v>
      </c>
      <c r="L33" t="s">
        <v>686</v>
      </c>
      <c r="M33" t="str">
        <f t="shared" si="1"/>
        <v>projectCollections</v>
      </c>
      <c r="N33" t="s">
        <v>679</v>
      </c>
      <c r="O33" t="s">
        <v>687</v>
      </c>
    </row>
    <row r="34" spans="1:15" x14ac:dyDescent="0.25">
      <c r="A34" t="s">
        <v>732</v>
      </c>
      <c r="B34" t="s">
        <v>729</v>
      </c>
      <c r="C34" t="s">
        <v>731</v>
      </c>
      <c r="D34" t="s">
        <v>43</v>
      </c>
      <c r="E34">
        <v>1354507</v>
      </c>
      <c r="F34" t="s">
        <v>44</v>
      </c>
      <c r="G34" t="s">
        <v>730</v>
      </c>
      <c r="H34" t="str">
        <f t="shared" si="0"/>
        <v>0926/2019</v>
      </c>
      <c r="I34" t="s">
        <v>2410</v>
      </c>
      <c r="L34" t="s">
        <v>686</v>
      </c>
      <c r="M34" t="str">
        <f t="shared" si="1"/>
        <v>projectCollections</v>
      </c>
      <c r="N34" t="s">
        <v>679</v>
      </c>
      <c r="O34" t="s">
        <v>687</v>
      </c>
    </row>
    <row r="35" spans="1:15" x14ac:dyDescent="0.25">
      <c r="A35" t="s">
        <v>737</v>
      </c>
      <c r="B35" t="s">
        <v>733</v>
      </c>
      <c r="C35" t="s">
        <v>736</v>
      </c>
      <c r="D35" t="s">
        <v>43</v>
      </c>
      <c r="E35">
        <v>1354508</v>
      </c>
      <c r="F35" t="s">
        <v>44</v>
      </c>
      <c r="G35" t="s">
        <v>735</v>
      </c>
      <c r="H35" t="str">
        <f t="shared" si="0"/>
        <v>0926/2019</v>
      </c>
      <c r="I35" t="s">
        <v>2410</v>
      </c>
      <c r="L35" t="s">
        <v>686</v>
      </c>
      <c r="M35" t="str">
        <f t="shared" si="1"/>
        <v>projectCollections</v>
      </c>
      <c r="N35" t="s">
        <v>679</v>
      </c>
      <c r="O35" t="s">
        <v>687</v>
      </c>
    </row>
    <row r="36" spans="1:15" x14ac:dyDescent="0.25">
      <c r="A36" t="s">
        <v>742</v>
      </c>
      <c r="B36" t="s">
        <v>739</v>
      </c>
      <c r="C36" t="s">
        <v>741</v>
      </c>
      <c r="D36" t="s">
        <v>43</v>
      </c>
      <c r="E36">
        <v>1354509</v>
      </c>
      <c r="F36" t="s">
        <v>44</v>
      </c>
      <c r="G36" t="s">
        <v>740</v>
      </c>
      <c r="H36" t="str">
        <f t="shared" si="0"/>
        <v>0926/2019</v>
      </c>
      <c r="I36" t="s">
        <v>2410</v>
      </c>
      <c r="K36" t="s">
        <v>738</v>
      </c>
      <c r="L36" t="s">
        <v>686</v>
      </c>
      <c r="M36" t="str">
        <f t="shared" si="1"/>
        <v>projectCollections</v>
      </c>
      <c r="N36" t="s">
        <v>679</v>
      </c>
      <c r="O36" t="s">
        <v>687</v>
      </c>
    </row>
    <row r="37" spans="1:15" x14ac:dyDescent="0.25">
      <c r="A37" t="s">
        <v>746</v>
      </c>
      <c r="B37" t="s">
        <v>743</v>
      </c>
      <c r="C37" t="s">
        <v>745</v>
      </c>
      <c r="D37" t="s">
        <v>43</v>
      </c>
      <c r="E37">
        <v>1354510</v>
      </c>
      <c r="F37" t="s">
        <v>44</v>
      </c>
      <c r="G37" t="s">
        <v>744</v>
      </c>
      <c r="H37" t="str">
        <f t="shared" si="0"/>
        <v>0926/2019</v>
      </c>
      <c r="I37" t="s">
        <v>2410</v>
      </c>
      <c r="L37" t="s">
        <v>686</v>
      </c>
      <c r="M37" t="str">
        <f t="shared" si="1"/>
        <v>projectCollections</v>
      </c>
      <c r="N37" t="s">
        <v>679</v>
      </c>
      <c r="O37" t="s">
        <v>687</v>
      </c>
    </row>
    <row r="38" spans="1:15" x14ac:dyDescent="0.25">
      <c r="A38" t="s">
        <v>751</v>
      </c>
      <c r="B38" t="s">
        <v>748</v>
      </c>
      <c r="C38" t="s">
        <v>750</v>
      </c>
      <c r="D38" t="s">
        <v>43</v>
      </c>
      <c r="E38">
        <v>1354511</v>
      </c>
      <c r="F38" t="s">
        <v>44</v>
      </c>
      <c r="G38" t="s">
        <v>749</v>
      </c>
      <c r="H38" t="str">
        <f t="shared" si="0"/>
        <v>0926/2019</v>
      </c>
      <c r="I38" t="s">
        <v>2410</v>
      </c>
      <c r="K38" t="s">
        <v>747</v>
      </c>
      <c r="L38" t="s">
        <v>686</v>
      </c>
      <c r="M38" t="str">
        <f t="shared" si="1"/>
        <v>projectCollections</v>
      </c>
      <c r="N38" t="s">
        <v>679</v>
      </c>
      <c r="O38" t="s">
        <v>687</v>
      </c>
    </row>
    <row r="39" spans="1:15" x14ac:dyDescent="0.25">
      <c r="A39" t="s">
        <v>756</v>
      </c>
      <c r="B39" t="s">
        <v>753</v>
      </c>
      <c r="C39" t="s">
        <v>755</v>
      </c>
      <c r="D39" t="s">
        <v>43</v>
      </c>
      <c r="E39">
        <v>1354512</v>
      </c>
      <c r="F39" t="s">
        <v>44</v>
      </c>
      <c r="G39" t="s">
        <v>754</v>
      </c>
      <c r="H39" t="str">
        <f t="shared" si="0"/>
        <v>0926/2019</v>
      </c>
      <c r="I39" t="s">
        <v>2410</v>
      </c>
      <c r="K39" t="s">
        <v>752</v>
      </c>
      <c r="L39" t="s">
        <v>686</v>
      </c>
      <c r="M39" t="str">
        <f t="shared" si="1"/>
        <v>projectCollections</v>
      </c>
      <c r="N39" t="s">
        <v>679</v>
      </c>
      <c r="O39" t="s">
        <v>687</v>
      </c>
    </row>
    <row r="40" spans="1:15" x14ac:dyDescent="0.25">
      <c r="A40" t="s">
        <v>761</v>
      </c>
      <c r="B40" t="s">
        <v>758</v>
      </c>
      <c r="C40" t="s">
        <v>760</v>
      </c>
      <c r="D40" t="s">
        <v>43</v>
      </c>
      <c r="E40">
        <v>1354513</v>
      </c>
      <c r="F40" t="s">
        <v>44</v>
      </c>
      <c r="G40" t="s">
        <v>759</v>
      </c>
      <c r="H40" t="str">
        <f t="shared" si="0"/>
        <v>0926/2019</v>
      </c>
      <c r="I40" t="s">
        <v>2410</v>
      </c>
      <c r="K40" t="s">
        <v>757</v>
      </c>
      <c r="L40" t="s">
        <v>686</v>
      </c>
      <c r="M40" t="str">
        <f t="shared" si="1"/>
        <v>projectCollections</v>
      </c>
      <c r="N40" t="s">
        <v>679</v>
      </c>
      <c r="O40" t="s">
        <v>687</v>
      </c>
    </row>
    <row r="41" spans="1:15" x14ac:dyDescent="0.25">
      <c r="A41" t="s">
        <v>765</v>
      </c>
      <c r="B41" t="s">
        <v>762</v>
      </c>
      <c r="C41" t="s">
        <v>764</v>
      </c>
      <c r="D41" t="s">
        <v>43</v>
      </c>
      <c r="E41">
        <v>1354514</v>
      </c>
      <c r="F41" t="s">
        <v>44</v>
      </c>
      <c r="G41" t="s">
        <v>763</v>
      </c>
      <c r="H41" t="str">
        <f t="shared" si="0"/>
        <v>0926/2019</v>
      </c>
      <c r="I41" t="s">
        <v>2410</v>
      </c>
      <c r="L41" t="s">
        <v>686</v>
      </c>
      <c r="M41" t="str">
        <f t="shared" si="1"/>
        <v>projectCollections</v>
      </c>
      <c r="N41" t="s">
        <v>679</v>
      </c>
      <c r="O41" t="s">
        <v>687</v>
      </c>
    </row>
    <row r="42" spans="1:15" x14ac:dyDescent="0.25">
      <c r="A42" t="s">
        <v>769</v>
      </c>
      <c r="B42" t="s">
        <v>766</v>
      </c>
      <c r="C42" t="s">
        <v>768</v>
      </c>
      <c r="D42" t="s">
        <v>43</v>
      </c>
      <c r="E42">
        <v>1354515</v>
      </c>
      <c r="F42" t="s">
        <v>44</v>
      </c>
      <c r="G42" t="s">
        <v>767</v>
      </c>
      <c r="H42" t="str">
        <f t="shared" si="0"/>
        <v>0926/2019</v>
      </c>
      <c r="I42" t="s">
        <v>2410</v>
      </c>
      <c r="L42" t="s">
        <v>686</v>
      </c>
      <c r="M42" t="str">
        <f t="shared" si="1"/>
        <v>projectCollections</v>
      </c>
      <c r="N42" t="s">
        <v>679</v>
      </c>
      <c r="O42" t="s">
        <v>687</v>
      </c>
    </row>
    <row r="43" spans="1:15" x14ac:dyDescent="0.25">
      <c r="A43" t="s">
        <v>288</v>
      </c>
      <c r="B43" t="s">
        <v>279</v>
      </c>
      <c r="C43" t="s">
        <v>285</v>
      </c>
      <c r="D43" t="s">
        <v>43</v>
      </c>
      <c r="E43">
        <v>1013175</v>
      </c>
      <c r="F43" t="s">
        <v>44</v>
      </c>
      <c r="G43" t="s">
        <v>284</v>
      </c>
      <c r="H43" t="str">
        <f t="shared" si="0"/>
        <v>0926/2019</v>
      </c>
      <c r="I43" t="s">
        <v>2410</v>
      </c>
      <c r="K43" t="s">
        <v>770</v>
      </c>
      <c r="L43" t="s">
        <v>286</v>
      </c>
      <c r="M43" t="str">
        <f t="shared" si="1"/>
        <v>projectCollections</v>
      </c>
      <c r="N43" t="s">
        <v>278</v>
      </c>
      <c r="O43" t="s">
        <v>287</v>
      </c>
    </row>
    <row r="44" spans="1:15" x14ac:dyDescent="0.25">
      <c r="A44" t="s">
        <v>293</v>
      </c>
      <c r="B44" t="s">
        <v>289</v>
      </c>
      <c r="C44" t="s">
        <v>292</v>
      </c>
      <c r="D44" t="s">
        <v>43</v>
      </c>
      <c r="E44">
        <v>1013176</v>
      </c>
      <c r="F44" t="s">
        <v>44</v>
      </c>
      <c r="G44" t="s">
        <v>291</v>
      </c>
      <c r="H44" t="str">
        <f t="shared" si="0"/>
        <v>0926/2019</v>
      </c>
      <c r="I44" t="s">
        <v>2410</v>
      </c>
      <c r="K44" t="s">
        <v>289</v>
      </c>
      <c r="L44" t="s">
        <v>286</v>
      </c>
      <c r="M44" t="str">
        <f t="shared" si="1"/>
        <v>projectCollections</v>
      </c>
      <c r="N44" t="s">
        <v>278</v>
      </c>
      <c r="O44" t="s">
        <v>287</v>
      </c>
    </row>
    <row r="45" spans="1:15" x14ac:dyDescent="0.25">
      <c r="A45" t="s">
        <v>297</v>
      </c>
      <c r="B45" t="s">
        <v>294</v>
      </c>
      <c r="C45" t="s">
        <v>296</v>
      </c>
      <c r="D45" t="s">
        <v>43</v>
      </c>
      <c r="E45">
        <v>1013177</v>
      </c>
      <c r="F45" t="s">
        <v>44</v>
      </c>
      <c r="G45" t="s">
        <v>295</v>
      </c>
      <c r="H45" t="str">
        <f t="shared" si="0"/>
        <v>0926/2019</v>
      </c>
      <c r="I45" t="s">
        <v>2410</v>
      </c>
      <c r="L45" t="s">
        <v>286</v>
      </c>
      <c r="M45" t="str">
        <f t="shared" si="1"/>
        <v>projectCollections</v>
      </c>
      <c r="N45" t="s">
        <v>278</v>
      </c>
      <c r="O45" t="s">
        <v>287</v>
      </c>
    </row>
    <row r="46" spans="1:15" x14ac:dyDescent="0.25">
      <c r="A46" t="s">
        <v>301</v>
      </c>
      <c r="B46" t="s">
        <v>298</v>
      </c>
      <c r="C46" t="s">
        <v>300</v>
      </c>
      <c r="D46" t="s">
        <v>43</v>
      </c>
      <c r="E46">
        <v>1013178</v>
      </c>
      <c r="F46" t="s">
        <v>44</v>
      </c>
      <c r="G46" t="s">
        <v>299</v>
      </c>
      <c r="H46" t="str">
        <f t="shared" si="0"/>
        <v>0926/2019</v>
      </c>
      <c r="I46" t="s">
        <v>2410</v>
      </c>
      <c r="L46" t="s">
        <v>286</v>
      </c>
      <c r="M46" t="str">
        <f t="shared" si="1"/>
        <v>projectCollections</v>
      </c>
      <c r="N46" t="s">
        <v>278</v>
      </c>
      <c r="O46" t="s">
        <v>287</v>
      </c>
    </row>
    <row r="47" spans="1:15" x14ac:dyDescent="0.25">
      <c r="A47" t="s">
        <v>1568</v>
      </c>
      <c r="B47" t="s">
        <v>1562</v>
      </c>
      <c r="C47" t="s">
        <v>1565</v>
      </c>
      <c r="D47" t="s">
        <v>43</v>
      </c>
      <c r="E47">
        <v>10</v>
      </c>
      <c r="F47" t="s">
        <v>44</v>
      </c>
      <c r="G47" t="s">
        <v>1564</v>
      </c>
      <c r="H47" t="str">
        <f t="shared" si="0"/>
        <v>0202/2021</v>
      </c>
      <c r="I47" t="s">
        <v>2411</v>
      </c>
      <c r="K47" t="s">
        <v>302</v>
      </c>
      <c r="L47" t="s">
        <v>1566</v>
      </c>
      <c r="M47" t="str">
        <f t="shared" si="1"/>
        <v>projectCollections</v>
      </c>
      <c r="N47" t="s">
        <v>1561</v>
      </c>
      <c r="O47" t="s">
        <v>1567</v>
      </c>
    </row>
    <row r="48" spans="1:15" x14ac:dyDescent="0.25">
      <c r="H48" t="e">
        <f t="shared" si="0"/>
        <v>#VALUE!</v>
      </c>
      <c r="I48" t="e">
        <v>#VALUE!</v>
      </c>
      <c r="L48" t="s">
        <v>821</v>
      </c>
      <c r="M48" t="str">
        <f t="shared" si="1"/>
        <v>projectCollections</v>
      </c>
      <c r="N48" t="s">
        <v>820</v>
      </c>
      <c r="O48" t="s">
        <v>822</v>
      </c>
    </row>
    <row r="49" spans="1:15" x14ac:dyDescent="0.25">
      <c r="A49" t="s">
        <v>1384</v>
      </c>
      <c r="B49" t="s">
        <v>1378</v>
      </c>
      <c r="C49" t="s">
        <v>1381</v>
      </c>
      <c r="D49" t="s">
        <v>43</v>
      </c>
      <c r="E49">
        <v>188609</v>
      </c>
      <c r="F49" t="s">
        <v>44</v>
      </c>
      <c r="G49" t="s">
        <v>1380</v>
      </c>
      <c r="H49" t="str">
        <f t="shared" si="0"/>
        <v>0427/2022</v>
      </c>
      <c r="I49" t="s">
        <v>2412</v>
      </c>
      <c r="K49" t="s">
        <v>823</v>
      </c>
      <c r="L49" t="s">
        <v>1382</v>
      </c>
      <c r="M49" t="str">
        <f t="shared" si="1"/>
        <v>projectCollections</v>
      </c>
      <c r="N49" t="s">
        <v>1377</v>
      </c>
      <c r="O49" t="s">
        <v>1383</v>
      </c>
    </row>
    <row r="50" spans="1:15" x14ac:dyDescent="0.25">
      <c r="A50" t="s">
        <v>2326</v>
      </c>
      <c r="B50" t="s">
        <v>2319</v>
      </c>
      <c r="C50" t="s">
        <v>2323</v>
      </c>
      <c r="D50" t="s">
        <v>43</v>
      </c>
      <c r="E50">
        <v>122340</v>
      </c>
      <c r="F50" t="s">
        <v>44</v>
      </c>
      <c r="G50" t="s">
        <v>2322</v>
      </c>
      <c r="H50" t="str">
        <f t="shared" si="0"/>
        <v>0302/2022</v>
      </c>
      <c r="I50" t="s">
        <v>2413</v>
      </c>
      <c r="K50" t="s">
        <v>1385</v>
      </c>
      <c r="L50" t="s">
        <v>2324</v>
      </c>
      <c r="M50" t="str">
        <f t="shared" si="1"/>
        <v>projectCollections</v>
      </c>
      <c r="N50" t="s">
        <v>2318</v>
      </c>
      <c r="O50" t="s">
        <v>2325</v>
      </c>
    </row>
    <row r="51" spans="1:15" x14ac:dyDescent="0.25">
      <c r="A51" t="s">
        <v>1572</v>
      </c>
      <c r="B51" t="s">
        <v>1569</v>
      </c>
      <c r="C51" t="s">
        <v>1571</v>
      </c>
      <c r="D51" t="s">
        <v>43</v>
      </c>
      <c r="E51">
        <v>17231687</v>
      </c>
      <c r="F51" t="s">
        <v>44</v>
      </c>
      <c r="G51" t="s">
        <v>1570</v>
      </c>
      <c r="H51" t="str">
        <f t="shared" si="0"/>
        <v>0926/2019</v>
      </c>
      <c r="I51" t="s">
        <v>2410</v>
      </c>
      <c r="L51" t="s">
        <v>1374</v>
      </c>
      <c r="M51" t="str">
        <f t="shared" si="1"/>
        <v>projectCollections</v>
      </c>
      <c r="N51" t="s">
        <v>1367</v>
      </c>
      <c r="O51" t="s">
        <v>1375</v>
      </c>
    </row>
    <row r="52" spans="1:15" x14ac:dyDescent="0.25">
      <c r="A52" t="s">
        <v>1926</v>
      </c>
      <c r="B52" t="s">
        <v>1923</v>
      </c>
      <c r="C52" t="s">
        <v>1925</v>
      </c>
      <c r="D52" t="s">
        <v>43</v>
      </c>
      <c r="E52">
        <v>17231688</v>
      </c>
      <c r="F52" t="s">
        <v>44</v>
      </c>
      <c r="G52" t="s">
        <v>1924</v>
      </c>
      <c r="H52" t="str">
        <f t="shared" si="0"/>
        <v>0926/2019</v>
      </c>
      <c r="I52" t="s">
        <v>2410</v>
      </c>
      <c r="L52" t="s">
        <v>1374</v>
      </c>
      <c r="M52" t="str">
        <f t="shared" si="1"/>
        <v>projectCollections</v>
      </c>
      <c r="N52" t="s">
        <v>1367</v>
      </c>
      <c r="O52" t="s">
        <v>1375</v>
      </c>
    </row>
    <row r="53" spans="1:15" x14ac:dyDescent="0.25">
      <c r="A53" t="s">
        <v>1922</v>
      </c>
      <c r="B53" t="s">
        <v>1918</v>
      </c>
      <c r="C53" t="s">
        <v>1921</v>
      </c>
      <c r="D53" t="s">
        <v>43</v>
      </c>
      <c r="E53">
        <v>17231689</v>
      </c>
      <c r="F53" t="s">
        <v>44</v>
      </c>
      <c r="G53" t="s">
        <v>1920</v>
      </c>
      <c r="H53" t="str">
        <f t="shared" si="0"/>
        <v>0926/2019</v>
      </c>
      <c r="I53" t="s">
        <v>2410</v>
      </c>
      <c r="K53" t="s">
        <v>1927</v>
      </c>
      <c r="L53" t="s">
        <v>1374</v>
      </c>
      <c r="M53" t="str">
        <f t="shared" si="1"/>
        <v>projectCollections</v>
      </c>
      <c r="N53" t="s">
        <v>1367</v>
      </c>
      <c r="O53" t="s">
        <v>1375</v>
      </c>
    </row>
    <row r="54" spans="1:15" x14ac:dyDescent="0.25">
      <c r="A54" t="s">
        <v>1936</v>
      </c>
      <c r="B54" t="s">
        <v>1933</v>
      </c>
      <c r="C54" t="s">
        <v>1935</v>
      </c>
      <c r="D54" t="s">
        <v>43</v>
      </c>
      <c r="E54">
        <v>17231690</v>
      </c>
      <c r="F54" t="s">
        <v>44</v>
      </c>
      <c r="G54" t="s">
        <v>1934</v>
      </c>
      <c r="H54" t="str">
        <f t="shared" si="0"/>
        <v>0926/2019</v>
      </c>
      <c r="I54" t="s">
        <v>2410</v>
      </c>
      <c r="L54" t="s">
        <v>1374</v>
      </c>
      <c r="M54" t="str">
        <f t="shared" si="1"/>
        <v>projectCollections</v>
      </c>
      <c r="N54" t="s">
        <v>1367</v>
      </c>
      <c r="O54" t="s">
        <v>1375</v>
      </c>
    </row>
    <row r="55" spans="1:15" x14ac:dyDescent="0.25">
      <c r="A55" t="s">
        <v>1931</v>
      </c>
      <c r="B55" t="s">
        <v>1928</v>
      </c>
      <c r="C55" t="s">
        <v>1930</v>
      </c>
      <c r="D55" t="s">
        <v>43</v>
      </c>
      <c r="E55">
        <v>17231691</v>
      </c>
      <c r="F55" t="s">
        <v>44</v>
      </c>
      <c r="G55" t="s">
        <v>1929</v>
      </c>
      <c r="H55" t="str">
        <f t="shared" si="0"/>
        <v>0926/2019</v>
      </c>
      <c r="I55" t="s">
        <v>2410</v>
      </c>
      <c r="K55" t="s">
        <v>1937</v>
      </c>
      <c r="L55" t="s">
        <v>1374</v>
      </c>
      <c r="M55" t="str">
        <f t="shared" si="1"/>
        <v>projectCollections</v>
      </c>
      <c r="N55" t="s">
        <v>1367</v>
      </c>
      <c r="O55" t="s">
        <v>1375</v>
      </c>
    </row>
    <row r="56" spans="1:15" x14ac:dyDescent="0.25">
      <c r="A56" t="s">
        <v>2245</v>
      </c>
      <c r="B56" t="s">
        <v>1497</v>
      </c>
      <c r="C56" t="s">
        <v>2244</v>
      </c>
      <c r="D56" t="s">
        <v>43</v>
      </c>
      <c r="E56">
        <v>17231791</v>
      </c>
      <c r="F56" t="s">
        <v>44</v>
      </c>
      <c r="G56" t="s">
        <v>2243</v>
      </c>
      <c r="H56" t="str">
        <f t="shared" si="0"/>
        <v>1020/2020</v>
      </c>
      <c r="I56" t="s">
        <v>2414</v>
      </c>
      <c r="K56" t="s">
        <v>1932</v>
      </c>
      <c r="L56" t="s">
        <v>1374</v>
      </c>
      <c r="M56" t="str">
        <f t="shared" si="1"/>
        <v>projectCollections</v>
      </c>
      <c r="N56" t="s">
        <v>1367</v>
      </c>
      <c r="O56" t="s">
        <v>1375</v>
      </c>
    </row>
    <row r="57" spans="1:15" x14ac:dyDescent="0.25">
      <c r="A57" t="s">
        <v>2275</v>
      </c>
      <c r="B57" t="s">
        <v>2270</v>
      </c>
      <c r="C57" t="s">
        <v>2274</v>
      </c>
      <c r="D57" t="s">
        <v>43</v>
      </c>
      <c r="E57">
        <v>17231829</v>
      </c>
      <c r="F57" t="s">
        <v>44</v>
      </c>
      <c r="G57" t="s">
        <v>2273</v>
      </c>
      <c r="H57" t="str">
        <f t="shared" si="0"/>
        <v>0521/2021</v>
      </c>
      <c r="I57" t="s">
        <v>2415</v>
      </c>
      <c r="K57" t="s">
        <v>2246</v>
      </c>
      <c r="L57" t="s">
        <v>1374</v>
      </c>
      <c r="M57" t="str">
        <f t="shared" si="1"/>
        <v>projectCollections</v>
      </c>
      <c r="N57" t="s">
        <v>1367</v>
      </c>
      <c r="O57" t="s">
        <v>1375</v>
      </c>
    </row>
    <row r="58" spans="1:15" x14ac:dyDescent="0.25">
      <c r="A58" t="s">
        <v>1946</v>
      </c>
      <c r="B58" t="s">
        <v>1943</v>
      </c>
      <c r="C58" t="s">
        <v>1945</v>
      </c>
      <c r="D58" t="s">
        <v>43</v>
      </c>
      <c r="E58">
        <v>17231693</v>
      </c>
      <c r="F58" t="s">
        <v>44</v>
      </c>
      <c r="G58" t="s">
        <v>1944</v>
      </c>
      <c r="H58" t="str">
        <f t="shared" si="0"/>
        <v>0926/2019</v>
      </c>
      <c r="I58" t="s">
        <v>2410</v>
      </c>
      <c r="L58" t="s">
        <v>1374</v>
      </c>
      <c r="M58" t="str">
        <f t="shared" si="1"/>
        <v>projectCollections</v>
      </c>
      <c r="N58" t="s">
        <v>1367</v>
      </c>
      <c r="O58" t="s">
        <v>1375</v>
      </c>
    </row>
    <row r="59" spans="1:15" x14ac:dyDescent="0.25">
      <c r="A59" t="s">
        <v>1941</v>
      </c>
      <c r="B59" t="s">
        <v>1938</v>
      </c>
      <c r="C59" t="s">
        <v>1940</v>
      </c>
      <c r="D59" t="s">
        <v>43</v>
      </c>
      <c r="E59">
        <v>17231694</v>
      </c>
      <c r="F59" t="s">
        <v>44</v>
      </c>
      <c r="G59" t="s">
        <v>1939</v>
      </c>
      <c r="H59" t="str">
        <f t="shared" si="0"/>
        <v>0926/2019</v>
      </c>
      <c r="I59" t="s">
        <v>2410</v>
      </c>
      <c r="L59" t="s">
        <v>1374</v>
      </c>
      <c r="M59" t="str">
        <f t="shared" si="1"/>
        <v>projectCollections</v>
      </c>
      <c r="N59" t="s">
        <v>1367</v>
      </c>
      <c r="O59" t="s">
        <v>1375</v>
      </c>
    </row>
    <row r="60" spans="1:15" x14ac:dyDescent="0.25">
      <c r="A60" t="s">
        <v>1951</v>
      </c>
      <c r="B60" t="s">
        <v>1947</v>
      </c>
      <c r="C60" t="s">
        <v>1950</v>
      </c>
      <c r="D60" t="s">
        <v>43</v>
      </c>
      <c r="E60">
        <v>17231695</v>
      </c>
      <c r="F60" t="s">
        <v>44</v>
      </c>
      <c r="G60" t="s">
        <v>1949</v>
      </c>
      <c r="H60" t="str">
        <f t="shared" si="0"/>
        <v>0926/2019</v>
      </c>
      <c r="I60" t="s">
        <v>2410</v>
      </c>
      <c r="K60" t="s">
        <v>1942</v>
      </c>
      <c r="L60" t="s">
        <v>1374</v>
      </c>
      <c r="M60" t="str">
        <f t="shared" si="1"/>
        <v>projectCollections</v>
      </c>
      <c r="N60" t="s">
        <v>1367</v>
      </c>
      <c r="O60" t="s">
        <v>1375</v>
      </c>
    </row>
    <row r="61" spans="1:15" x14ac:dyDescent="0.25">
      <c r="A61" t="s">
        <v>1960</v>
      </c>
      <c r="B61" t="s">
        <v>1957</v>
      </c>
      <c r="C61" t="s">
        <v>1959</v>
      </c>
      <c r="D61" t="s">
        <v>43</v>
      </c>
      <c r="E61">
        <v>17231696</v>
      </c>
      <c r="F61" t="s">
        <v>44</v>
      </c>
      <c r="G61" t="s">
        <v>1958</v>
      </c>
      <c r="H61" t="str">
        <f t="shared" si="0"/>
        <v>0926/2019</v>
      </c>
      <c r="I61" t="s">
        <v>2410</v>
      </c>
      <c r="L61" t="s">
        <v>1374</v>
      </c>
      <c r="M61" t="str">
        <f t="shared" si="1"/>
        <v>projectCollections</v>
      </c>
      <c r="N61" t="s">
        <v>1367</v>
      </c>
      <c r="O61" t="s">
        <v>1375</v>
      </c>
    </row>
    <row r="62" spans="1:15" x14ac:dyDescent="0.25">
      <c r="A62" t="s">
        <v>2288</v>
      </c>
      <c r="B62" t="s">
        <v>2284</v>
      </c>
      <c r="C62" t="s">
        <v>2287</v>
      </c>
      <c r="D62" t="s">
        <v>43</v>
      </c>
      <c r="E62">
        <v>17231830</v>
      </c>
      <c r="F62" t="s">
        <v>44</v>
      </c>
      <c r="G62" t="s">
        <v>2286</v>
      </c>
      <c r="H62" t="str">
        <f t="shared" si="0"/>
        <v>0720/2021</v>
      </c>
      <c r="I62" t="s">
        <v>2416</v>
      </c>
      <c r="K62" t="s">
        <v>1961</v>
      </c>
      <c r="L62" t="s">
        <v>1374</v>
      </c>
      <c r="M62" t="str">
        <f t="shared" si="1"/>
        <v>projectCollections</v>
      </c>
      <c r="N62" t="s">
        <v>1367</v>
      </c>
      <c r="O62" t="s">
        <v>1375</v>
      </c>
    </row>
    <row r="63" spans="1:15" x14ac:dyDescent="0.25">
      <c r="A63" t="s">
        <v>1970</v>
      </c>
      <c r="B63" t="s">
        <v>1967</v>
      </c>
      <c r="C63" t="s">
        <v>1969</v>
      </c>
      <c r="D63" t="s">
        <v>43</v>
      </c>
      <c r="E63">
        <v>17231698</v>
      </c>
      <c r="F63" t="s">
        <v>44</v>
      </c>
      <c r="G63" t="s">
        <v>1968</v>
      </c>
      <c r="H63" t="str">
        <f t="shared" si="0"/>
        <v>0926/2019</v>
      </c>
      <c r="I63" t="s">
        <v>2410</v>
      </c>
      <c r="L63" t="s">
        <v>1374</v>
      </c>
      <c r="M63" t="str">
        <f t="shared" si="1"/>
        <v>projectCollections</v>
      </c>
      <c r="N63" t="s">
        <v>1367</v>
      </c>
      <c r="O63" t="s">
        <v>1375</v>
      </c>
    </row>
    <row r="64" spans="1:15" x14ac:dyDescent="0.25">
      <c r="A64" t="s">
        <v>1975</v>
      </c>
      <c r="B64" t="s">
        <v>1972</v>
      </c>
      <c r="C64" t="s">
        <v>1974</v>
      </c>
      <c r="D64" t="s">
        <v>43</v>
      </c>
      <c r="E64">
        <v>17231699</v>
      </c>
      <c r="F64" t="s">
        <v>44</v>
      </c>
      <c r="G64" t="s">
        <v>1973</v>
      </c>
      <c r="H64" t="str">
        <f t="shared" si="0"/>
        <v>0926/2019</v>
      </c>
      <c r="I64" t="s">
        <v>2410</v>
      </c>
      <c r="K64" t="s">
        <v>1971</v>
      </c>
      <c r="L64" t="s">
        <v>1374</v>
      </c>
      <c r="M64" t="str">
        <f t="shared" si="1"/>
        <v>projectCollections</v>
      </c>
      <c r="N64" t="s">
        <v>1367</v>
      </c>
      <c r="O64" t="s">
        <v>1375</v>
      </c>
    </row>
    <row r="65" spans="1:15" x14ac:dyDescent="0.25">
      <c r="A65" t="s">
        <v>2250</v>
      </c>
      <c r="B65" t="s">
        <v>2247</v>
      </c>
      <c r="C65" t="s">
        <v>2249</v>
      </c>
      <c r="D65" t="s">
        <v>43</v>
      </c>
      <c r="E65">
        <v>17231700</v>
      </c>
      <c r="F65" t="s">
        <v>44</v>
      </c>
      <c r="G65" t="s">
        <v>2248</v>
      </c>
      <c r="H65" t="str">
        <f t="shared" si="0"/>
        <v>0926/2019</v>
      </c>
      <c r="I65" t="s">
        <v>2410</v>
      </c>
      <c r="K65" t="s">
        <v>1976</v>
      </c>
      <c r="L65" t="s">
        <v>1374</v>
      </c>
      <c r="M65" t="str">
        <f t="shared" si="1"/>
        <v>projectCollections</v>
      </c>
      <c r="N65" t="s">
        <v>1367</v>
      </c>
      <c r="O65" t="s">
        <v>1375</v>
      </c>
    </row>
    <row r="66" spans="1:15" x14ac:dyDescent="0.25">
      <c r="A66" t="s">
        <v>1980</v>
      </c>
      <c r="B66" t="s">
        <v>1977</v>
      </c>
      <c r="C66" t="s">
        <v>1979</v>
      </c>
      <c r="D66" t="s">
        <v>43</v>
      </c>
      <c r="E66">
        <v>17231701</v>
      </c>
      <c r="F66" t="s">
        <v>44</v>
      </c>
      <c r="G66" t="s">
        <v>1978</v>
      </c>
      <c r="H66" t="str">
        <f t="shared" ref="H66:H129" si="2">TEXT(DATEVALUE(LEFT(G66,10)),"MMDD/YYYY")</f>
        <v>0926/2019</v>
      </c>
      <c r="I66" t="s">
        <v>2410</v>
      </c>
      <c r="K66" t="s">
        <v>2251</v>
      </c>
      <c r="L66" t="s">
        <v>1374</v>
      </c>
      <c r="M66" t="str">
        <f t="shared" ref="M66:M129" si="3">MID(L66, 33, 18)</f>
        <v>projectCollections</v>
      </c>
      <c r="N66" t="s">
        <v>1367</v>
      </c>
      <c r="O66" t="s">
        <v>1375</v>
      </c>
    </row>
    <row r="67" spans="1:15" x14ac:dyDescent="0.25">
      <c r="A67" t="s">
        <v>1984</v>
      </c>
      <c r="B67" t="s">
        <v>1636</v>
      </c>
      <c r="C67" t="s">
        <v>1983</v>
      </c>
      <c r="D67" t="s">
        <v>43</v>
      </c>
      <c r="E67">
        <v>17231702</v>
      </c>
      <c r="F67" t="s">
        <v>44</v>
      </c>
      <c r="G67" t="s">
        <v>1982</v>
      </c>
      <c r="H67" t="str">
        <f t="shared" si="2"/>
        <v>0926/2019</v>
      </c>
      <c r="I67" t="s">
        <v>2410</v>
      </c>
      <c r="K67" t="s">
        <v>1981</v>
      </c>
      <c r="L67" t="s">
        <v>1374</v>
      </c>
      <c r="M67" t="str">
        <f t="shared" si="3"/>
        <v>projectCollections</v>
      </c>
      <c r="N67" t="s">
        <v>1367</v>
      </c>
      <c r="O67" t="s">
        <v>1375</v>
      </c>
    </row>
    <row r="68" spans="1:15" x14ac:dyDescent="0.25">
      <c r="A68" t="s">
        <v>1989</v>
      </c>
      <c r="B68" t="s">
        <v>1986</v>
      </c>
      <c r="C68" t="s">
        <v>1988</v>
      </c>
      <c r="D68" t="s">
        <v>43</v>
      </c>
      <c r="E68">
        <v>17231703</v>
      </c>
      <c r="F68" t="s">
        <v>44</v>
      </c>
      <c r="G68" t="s">
        <v>1987</v>
      </c>
      <c r="H68" t="str">
        <f t="shared" si="2"/>
        <v>0926/2019</v>
      </c>
      <c r="I68" t="s">
        <v>2410</v>
      </c>
      <c r="K68" t="s">
        <v>1985</v>
      </c>
      <c r="L68" t="s">
        <v>1374</v>
      </c>
      <c r="M68" t="str">
        <f t="shared" si="3"/>
        <v>projectCollections</v>
      </c>
      <c r="N68" t="s">
        <v>1367</v>
      </c>
      <c r="O68" t="s">
        <v>1375</v>
      </c>
    </row>
    <row r="69" spans="1:15" x14ac:dyDescent="0.25">
      <c r="A69" t="s">
        <v>1955</v>
      </c>
      <c r="B69" t="s">
        <v>1952</v>
      </c>
      <c r="C69" t="s">
        <v>1954</v>
      </c>
      <c r="D69" t="s">
        <v>43</v>
      </c>
      <c r="E69">
        <v>17231704</v>
      </c>
      <c r="F69" t="s">
        <v>44</v>
      </c>
      <c r="G69" t="s">
        <v>1953</v>
      </c>
      <c r="H69" t="str">
        <f t="shared" si="2"/>
        <v>0926/2019</v>
      </c>
      <c r="I69" t="s">
        <v>2410</v>
      </c>
      <c r="K69" t="s">
        <v>1990</v>
      </c>
      <c r="L69" t="s">
        <v>1374</v>
      </c>
      <c r="M69" t="str">
        <f t="shared" si="3"/>
        <v>projectCollections</v>
      </c>
      <c r="N69" t="s">
        <v>1367</v>
      </c>
      <c r="O69" t="s">
        <v>1375</v>
      </c>
    </row>
    <row r="70" spans="1:15" x14ac:dyDescent="0.25">
      <c r="A70" t="s">
        <v>2090</v>
      </c>
      <c r="B70" t="s">
        <v>2087</v>
      </c>
      <c r="C70" t="s">
        <v>2089</v>
      </c>
      <c r="D70" t="s">
        <v>43</v>
      </c>
      <c r="E70">
        <v>17231781</v>
      </c>
      <c r="F70" t="s">
        <v>44</v>
      </c>
      <c r="G70" t="s">
        <v>2088</v>
      </c>
      <c r="H70" t="str">
        <f t="shared" si="2"/>
        <v>0520/2020</v>
      </c>
      <c r="I70" t="s">
        <v>2417</v>
      </c>
      <c r="K70" t="s">
        <v>1956</v>
      </c>
      <c r="L70" t="s">
        <v>1374</v>
      </c>
      <c r="M70" t="str">
        <f t="shared" si="3"/>
        <v>projectCollections</v>
      </c>
      <c r="N70" t="s">
        <v>1367</v>
      </c>
      <c r="O70" t="s">
        <v>1375</v>
      </c>
    </row>
    <row r="71" spans="1:15" x14ac:dyDescent="0.25">
      <c r="A71" t="s">
        <v>1996</v>
      </c>
      <c r="B71" t="s">
        <v>1991</v>
      </c>
      <c r="C71" t="s">
        <v>1995</v>
      </c>
      <c r="D71" t="s">
        <v>43</v>
      </c>
      <c r="E71">
        <v>17231761</v>
      </c>
      <c r="F71" t="s">
        <v>44</v>
      </c>
      <c r="G71" t="s">
        <v>1994</v>
      </c>
      <c r="H71" t="str">
        <f t="shared" si="2"/>
        <v>1003/2019</v>
      </c>
      <c r="I71" t="s">
        <v>2418</v>
      </c>
      <c r="K71" t="s">
        <v>2091</v>
      </c>
      <c r="L71" t="s">
        <v>1374</v>
      </c>
      <c r="M71" t="str">
        <f t="shared" si="3"/>
        <v>projectCollections</v>
      </c>
      <c r="N71" t="s">
        <v>1367</v>
      </c>
      <c r="O71" t="s">
        <v>1375</v>
      </c>
    </row>
    <row r="72" spans="1:15" x14ac:dyDescent="0.25">
      <c r="A72" t="s">
        <v>2002</v>
      </c>
      <c r="B72" t="s">
        <v>1998</v>
      </c>
      <c r="C72" t="s">
        <v>2001</v>
      </c>
      <c r="D72" t="s">
        <v>43</v>
      </c>
      <c r="E72">
        <v>17231706</v>
      </c>
      <c r="F72" t="s">
        <v>44</v>
      </c>
      <c r="G72" t="s">
        <v>2000</v>
      </c>
      <c r="H72" t="str">
        <f t="shared" si="2"/>
        <v>0926/2019</v>
      </c>
      <c r="I72" t="s">
        <v>2410</v>
      </c>
      <c r="K72" t="s">
        <v>1997</v>
      </c>
      <c r="L72" t="s">
        <v>1374</v>
      </c>
      <c r="M72" t="str">
        <f t="shared" si="3"/>
        <v>projectCollections</v>
      </c>
      <c r="N72" t="s">
        <v>1367</v>
      </c>
      <c r="O72" t="s">
        <v>1375</v>
      </c>
    </row>
    <row r="73" spans="1:15" x14ac:dyDescent="0.25">
      <c r="A73" t="s">
        <v>2006</v>
      </c>
      <c r="B73" t="s">
        <v>2003</v>
      </c>
      <c r="C73" t="s">
        <v>2005</v>
      </c>
      <c r="D73" t="s">
        <v>43</v>
      </c>
      <c r="E73">
        <v>17231707</v>
      </c>
      <c r="F73" t="s">
        <v>44</v>
      </c>
      <c r="G73" t="s">
        <v>2004</v>
      </c>
      <c r="H73" t="str">
        <f t="shared" si="2"/>
        <v>0926/2019</v>
      </c>
      <c r="I73" t="s">
        <v>2410</v>
      </c>
      <c r="L73" t="s">
        <v>1374</v>
      </c>
      <c r="M73" t="str">
        <f t="shared" si="3"/>
        <v>projectCollections</v>
      </c>
      <c r="N73" t="s">
        <v>1367</v>
      </c>
      <c r="O73" t="s">
        <v>1375</v>
      </c>
    </row>
    <row r="74" spans="1:15" x14ac:dyDescent="0.25">
      <c r="A74" t="s">
        <v>2038</v>
      </c>
      <c r="B74" t="s">
        <v>2034</v>
      </c>
      <c r="C74" t="s">
        <v>2037</v>
      </c>
      <c r="D74" t="s">
        <v>43</v>
      </c>
      <c r="E74">
        <v>17231802</v>
      </c>
      <c r="F74" t="s">
        <v>44</v>
      </c>
      <c r="G74" t="s">
        <v>2036</v>
      </c>
      <c r="H74" t="str">
        <f t="shared" si="2"/>
        <v>0126/2021</v>
      </c>
      <c r="I74" t="s">
        <v>2419</v>
      </c>
      <c r="K74" t="s">
        <v>2007</v>
      </c>
      <c r="L74" t="s">
        <v>1374</v>
      </c>
      <c r="M74" t="str">
        <f t="shared" si="3"/>
        <v>projectCollections</v>
      </c>
      <c r="N74" t="s">
        <v>1367</v>
      </c>
      <c r="O74" t="s">
        <v>1375</v>
      </c>
    </row>
    <row r="75" spans="1:15" x14ac:dyDescent="0.25">
      <c r="A75" t="s">
        <v>2015</v>
      </c>
      <c r="B75" t="s">
        <v>2012</v>
      </c>
      <c r="C75" t="s">
        <v>2014</v>
      </c>
      <c r="D75" t="s">
        <v>43</v>
      </c>
      <c r="E75">
        <v>17231708</v>
      </c>
      <c r="F75" t="s">
        <v>44</v>
      </c>
      <c r="G75" t="s">
        <v>2013</v>
      </c>
      <c r="H75" t="str">
        <f t="shared" si="2"/>
        <v>0926/2019</v>
      </c>
      <c r="I75" t="s">
        <v>2410</v>
      </c>
      <c r="K75" t="s">
        <v>2039</v>
      </c>
      <c r="L75" t="s">
        <v>1374</v>
      </c>
      <c r="M75" t="str">
        <f t="shared" si="3"/>
        <v>projectCollections</v>
      </c>
      <c r="N75" t="s">
        <v>1367</v>
      </c>
      <c r="O75" t="s">
        <v>1375</v>
      </c>
    </row>
    <row r="76" spans="1:15" x14ac:dyDescent="0.25">
      <c r="A76" t="s">
        <v>2300</v>
      </c>
      <c r="B76" t="s">
        <v>1732</v>
      </c>
      <c r="C76" t="s">
        <v>2299</v>
      </c>
      <c r="D76" t="s">
        <v>43</v>
      </c>
      <c r="E76">
        <v>17231860</v>
      </c>
      <c r="F76" t="s">
        <v>44</v>
      </c>
      <c r="G76" t="s">
        <v>2298</v>
      </c>
      <c r="H76" t="str">
        <f t="shared" si="2"/>
        <v>1205/2022</v>
      </c>
      <c r="I76" t="s">
        <v>2420</v>
      </c>
      <c r="L76" t="s">
        <v>1374</v>
      </c>
      <c r="M76" t="str">
        <f t="shared" si="3"/>
        <v>projectCollections</v>
      </c>
      <c r="N76" t="s">
        <v>1367</v>
      </c>
      <c r="O76" t="s">
        <v>1375</v>
      </c>
    </row>
    <row r="77" spans="1:15" x14ac:dyDescent="0.25">
      <c r="A77" t="s">
        <v>2010</v>
      </c>
      <c r="B77" t="s">
        <v>1240</v>
      </c>
      <c r="C77" t="s">
        <v>2009</v>
      </c>
      <c r="D77" t="s">
        <v>43</v>
      </c>
      <c r="E77">
        <v>17231710</v>
      </c>
      <c r="F77" t="s">
        <v>44</v>
      </c>
      <c r="G77" t="s">
        <v>2008</v>
      </c>
      <c r="H77" t="str">
        <f t="shared" si="2"/>
        <v>0926/2019</v>
      </c>
      <c r="I77" t="s">
        <v>2410</v>
      </c>
      <c r="L77" t="s">
        <v>1374</v>
      </c>
      <c r="M77" t="str">
        <f t="shared" si="3"/>
        <v>projectCollections</v>
      </c>
      <c r="N77" t="s">
        <v>1367</v>
      </c>
      <c r="O77" t="s">
        <v>1375</v>
      </c>
    </row>
    <row r="78" spans="1:15" x14ac:dyDescent="0.25">
      <c r="A78" t="s">
        <v>2019</v>
      </c>
      <c r="B78" t="s">
        <v>2016</v>
      </c>
      <c r="C78" t="s">
        <v>2018</v>
      </c>
      <c r="D78" t="s">
        <v>43</v>
      </c>
      <c r="E78">
        <v>17231711</v>
      </c>
      <c r="F78" t="s">
        <v>44</v>
      </c>
      <c r="G78" t="s">
        <v>2017</v>
      </c>
      <c r="H78" t="str">
        <f t="shared" si="2"/>
        <v>0926/2019</v>
      </c>
      <c r="I78" t="s">
        <v>2410</v>
      </c>
      <c r="K78" t="s">
        <v>2011</v>
      </c>
      <c r="L78" t="s">
        <v>1374</v>
      </c>
      <c r="M78" t="str">
        <f t="shared" si="3"/>
        <v>projectCollections</v>
      </c>
      <c r="N78" t="s">
        <v>1367</v>
      </c>
      <c r="O78" t="s">
        <v>1375</v>
      </c>
    </row>
    <row r="79" spans="1:15" x14ac:dyDescent="0.25">
      <c r="A79" t="s">
        <v>2023</v>
      </c>
      <c r="B79" t="s">
        <v>1724</v>
      </c>
      <c r="C79" t="s">
        <v>2022</v>
      </c>
      <c r="D79" t="s">
        <v>43</v>
      </c>
      <c r="E79">
        <v>17231712</v>
      </c>
      <c r="F79" t="s">
        <v>44</v>
      </c>
      <c r="G79" t="s">
        <v>2021</v>
      </c>
      <c r="H79" t="str">
        <f t="shared" si="2"/>
        <v>0926/2019</v>
      </c>
      <c r="I79" t="s">
        <v>2410</v>
      </c>
      <c r="K79" t="s">
        <v>2020</v>
      </c>
      <c r="L79" t="s">
        <v>1374</v>
      </c>
      <c r="M79" t="str">
        <f t="shared" si="3"/>
        <v>projectCollections</v>
      </c>
      <c r="N79" t="s">
        <v>1367</v>
      </c>
      <c r="O79" t="s">
        <v>1375</v>
      </c>
    </row>
    <row r="80" spans="1:15" x14ac:dyDescent="0.25">
      <c r="A80" t="s">
        <v>2255</v>
      </c>
      <c r="B80" t="s">
        <v>2252</v>
      </c>
      <c r="C80" t="s">
        <v>2254</v>
      </c>
      <c r="D80" t="s">
        <v>43</v>
      </c>
      <c r="E80">
        <v>17231713</v>
      </c>
      <c r="F80" t="s">
        <v>44</v>
      </c>
      <c r="G80" t="s">
        <v>2253</v>
      </c>
      <c r="H80" t="str">
        <f t="shared" si="2"/>
        <v>0926/2019</v>
      </c>
      <c r="I80" t="s">
        <v>2410</v>
      </c>
      <c r="L80" t="s">
        <v>1374</v>
      </c>
      <c r="M80" t="str">
        <f t="shared" si="3"/>
        <v>projectCollections</v>
      </c>
      <c r="N80" t="s">
        <v>1367</v>
      </c>
      <c r="O80" t="s">
        <v>1375</v>
      </c>
    </row>
    <row r="81" spans="1:15" x14ac:dyDescent="0.25">
      <c r="A81" t="s">
        <v>2032</v>
      </c>
      <c r="B81" t="s">
        <v>2029</v>
      </c>
      <c r="C81" t="s">
        <v>2031</v>
      </c>
      <c r="D81" t="s">
        <v>43</v>
      </c>
      <c r="E81">
        <v>17231714</v>
      </c>
      <c r="F81" t="s">
        <v>44</v>
      </c>
      <c r="G81" t="s">
        <v>2030</v>
      </c>
      <c r="H81" t="str">
        <f t="shared" si="2"/>
        <v>0926/2019</v>
      </c>
      <c r="I81" t="s">
        <v>2410</v>
      </c>
      <c r="L81" t="s">
        <v>1374</v>
      </c>
      <c r="M81" t="str">
        <f t="shared" si="3"/>
        <v>projectCollections</v>
      </c>
      <c r="N81" t="s">
        <v>1367</v>
      </c>
      <c r="O81" t="s">
        <v>1375</v>
      </c>
    </row>
    <row r="82" spans="1:15" x14ac:dyDescent="0.25">
      <c r="A82" t="s">
        <v>2043</v>
      </c>
      <c r="B82" t="s">
        <v>2040</v>
      </c>
      <c r="C82" t="s">
        <v>2042</v>
      </c>
      <c r="D82" t="s">
        <v>43</v>
      </c>
      <c r="E82">
        <v>17231715</v>
      </c>
      <c r="F82" t="s">
        <v>44</v>
      </c>
      <c r="G82" t="s">
        <v>2041</v>
      </c>
      <c r="H82" t="str">
        <f t="shared" si="2"/>
        <v>0926/2019</v>
      </c>
      <c r="I82" t="s">
        <v>2410</v>
      </c>
      <c r="K82" t="s">
        <v>2033</v>
      </c>
      <c r="L82" t="s">
        <v>1374</v>
      </c>
      <c r="M82" t="str">
        <f t="shared" si="3"/>
        <v>projectCollections</v>
      </c>
      <c r="N82" t="s">
        <v>1367</v>
      </c>
      <c r="O82" t="s">
        <v>1375</v>
      </c>
    </row>
    <row r="83" spans="1:15" x14ac:dyDescent="0.25">
      <c r="A83" t="s">
        <v>2028</v>
      </c>
      <c r="B83" t="s">
        <v>2024</v>
      </c>
      <c r="C83" t="s">
        <v>2027</v>
      </c>
      <c r="D83" t="s">
        <v>43</v>
      </c>
      <c r="E83">
        <v>17231716</v>
      </c>
      <c r="F83" t="s">
        <v>44</v>
      </c>
      <c r="G83" t="s">
        <v>2026</v>
      </c>
      <c r="H83" t="str">
        <f t="shared" si="2"/>
        <v>0926/2019</v>
      </c>
      <c r="I83" t="s">
        <v>2410</v>
      </c>
      <c r="K83" t="s">
        <v>2044</v>
      </c>
      <c r="L83" t="s">
        <v>1374</v>
      </c>
      <c r="M83" t="str">
        <f t="shared" si="3"/>
        <v>projectCollections</v>
      </c>
      <c r="N83" t="s">
        <v>1367</v>
      </c>
      <c r="O83" t="s">
        <v>1375</v>
      </c>
    </row>
    <row r="84" spans="1:15" x14ac:dyDescent="0.25">
      <c r="A84" t="s">
        <v>2052</v>
      </c>
      <c r="B84" t="s">
        <v>2049</v>
      </c>
      <c r="C84" t="s">
        <v>2051</v>
      </c>
      <c r="D84" t="s">
        <v>43</v>
      </c>
      <c r="E84">
        <v>17231717</v>
      </c>
      <c r="F84" t="s">
        <v>44</v>
      </c>
      <c r="G84" t="s">
        <v>2050</v>
      </c>
      <c r="H84" t="str">
        <f t="shared" si="2"/>
        <v>0926/2019</v>
      </c>
      <c r="I84" t="s">
        <v>2410</v>
      </c>
      <c r="L84" t="s">
        <v>1374</v>
      </c>
      <c r="M84" t="str">
        <f t="shared" si="3"/>
        <v>projectCollections</v>
      </c>
      <c r="N84" t="s">
        <v>1367</v>
      </c>
      <c r="O84" t="s">
        <v>1375</v>
      </c>
    </row>
    <row r="85" spans="1:15" x14ac:dyDescent="0.25">
      <c r="A85" t="s">
        <v>2057</v>
      </c>
      <c r="B85" t="s">
        <v>2054</v>
      </c>
      <c r="C85" t="s">
        <v>2056</v>
      </c>
      <c r="D85" t="s">
        <v>43</v>
      </c>
      <c r="E85">
        <v>17231718</v>
      </c>
      <c r="F85" t="s">
        <v>44</v>
      </c>
      <c r="G85" t="s">
        <v>2055</v>
      </c>
      <c r="H85" t="str">
        <f t="shared" si="2"/>
        <v>0926/2019</v>
      </c>
      <c r="I85" t="s">
        <v>2410</v>
      </c>
      <c r="K85" t="s">
        <v>2053</v>
      </c>
      <c r="L85" t="s">
        <v>1374</v>
      </c>
      <c r="M85" t="str">
        <f t="shared" si="3"/>
        <v>projectCollections</v>
      </c>
      <c r="N85" t="s">
        <v>1367</v>
      </c>
      <c r="O85" t="s">
        <v>1375</v>
      </c>
    </row>
    <row r="86" spans="1:15" x14ac:dyDescent="0.25">
      <c r="A86" t="s">
        <v>1560</v>
      </c>
      <c r="B86" t="s">
        <v>1555</v>
      </c>
      <c r="C86" t="s">
        <v>1559</v>
      </c>
      <c r="D86" t="s">
        <v>43</v>
      </c>
      <c r="E86">
        <v>17231771</v>
      </c>
      <c r="F86" t="s">
        <v>44</v>
      </c>
      <c r="G86" t="s">
        <v>1558</v>
      </c>
      <c r="H86" t="str">
        <f t="shared" si="2"/>
        <v>0305/2020</v>
      </c>
      <c r="I86" t="s">
        <v>2421</v>
      </c>
      <c r="K86" t="s">
        <v>2058</v>
      </c>
      <c r="L86" t="s">
        <v>1374</v>
      </c>
      <c r="M86" t="str">
        <f t="shared" si="3"/>
        <v>projectCollections</v>
      </c>
      <c r="N86" t="s">
        <v>1367</v>
      </c>
      <c r="O86" t="s">
        <v>1375</v>
      </c>
    </row>
    <row r="87" spans="1:15" x14ac:dyDescent="0.25">
      <c r="A87" t="s">
        <v>2062</v>
      </c>
      <c r="B87" t="s">
        <v>2059</v>
      </c>
      <c r="C87" t="s">
        <v>2061</v>
      </c>
      <c r="D87" t="s">
        <v>43</v>
      </c>
      <c r="E87">
        <v>17231719</v>
      </c>
      <c r="F87" t="s">
        <v>44</v>
      </c>
      <c r="G87" t="s">
        <v>2060</v>
      </c>
      <c r="H87" t="str">
        <f t="shared" si="2"/>
        <v>0926/2019</v>
      </c>
      <c r="I87" t="s">
        <v>2410</v>
      </c>
      <c r="L87" t="s">
        <v>1374</v>
      </c>
      <c r="M87" t="str">
        <f t="shared" si="3"/>
        <v>projectCollections</v>
      </c>
      <c r="N87" t="s">
        <v>1367</v>
      </c>
      <c r="O87" t="s">
        <v>1375</v>
      </c>
    </row>
    <row r="88" spans="1:15" x14ac:dyDescent="0.25">
      <c r="A88" t="s">
        <v>2067</v>
      </c>
      <c r="B88" t="s">
        <v>2064</v>
      </c>
      <c r="C88" t="s">
        <v>2066</v>
      </c>
      <c r="D88" t="s">
        <v>43</v>
      </c>
      <c r="E88">
        <v>17231720</v>
      </c>
      <c r="F88" t="s">
        <v>44</v>
      </c>
      <c r="G88" t="s">
        <v>2065</v>
      </c>
      <c r="H88" t="str">
        <f t="shared" si="2"/>
        <v>0926/2019</v>
      </c>
      <c r="I88" t="s">
        <v>2410</v>
      </c>
      <c r="K88" t="s">
        <v>2063</v>
      </c>
      <c r="L88" t="s">
        <v>1374</v>
      </c>
      <c r="M88" t="str">
        <f t="shared" si="3"/>
        <v>projectCollections</v>
      </c>
      <c r="N88" t="s">
        <v>1367</v>
      </c>
      <c r="O88" t="s">
        <v>1375</v>
      </c>
    </row>
    <row r="89" spans="1:15" x14ac:dyDescent="0.25">
      <c r="A89" t="s">
        <v>2048</v>
      </c>
      <c r="B89" t="s">
        <v>2045</v>
      </c>
      <c r="C89" t="s">
        <v>2047</v>
      </c>
      <c r="D89" t="s">
        <v>43</v>
      </c>
      <c r="E89">
        <v>17231721</v>
      </c>
      <c r="F89" t="s">
        <v>44</v>
      </c>
      <c r="G89" t="s">
        <v>2046</v>
      </c>
      <c r="H89" t="str">
        <f t="shared" si="2"/>
        <v>0926/2019</v>
      </c>
      <c r="I89" t="s">
        <v>2410</v>
      </c>
      <c r="L89" t="s">
        <v>1374</v>
      </c>
      <c r="M89" t="str">
        <f t="shared" si="3"/>
        <v>projectCollections</v>
      </c>
      <c r="N89" t="s">
        <v>1367</v>
      </c>
      <c r="O89" t="s">
        <v>1375</v>
      </c>
    </row>
    <row r="90" spans="1:15" x14ac:dyDescent="0.25">
      <c r="A90" t="s">
        <v>2071</v>
      </c>
      <c r="B90" t="s">
        <v>2068</v>
      </c>
      <c r="C90" t="s">
        <v>2070</v>
      </c>
      <c r="D90" t="s">
        <v>43</v>
      </c>
      <c r="E90">
        <v>17231722</v>
      </c>
      <c r="F90" t="s">
        <v>44</v>
      </c>
      <c r="G90" t="s">
        <v>2069</v>
      </c>
      <c r="H90" t="str">
        <f t="shared" si="2"/>
        <v>0926/2019</v>
      </c>
      <c r="I90" t="s">
        <v>2410</v>
      </c>
      <c r="L90" t="s">
        <v>1374</v>
      </c>
      <c r="M90" t="str">
        <f t="shared" si="3"/>
        <v>projectCollections</v>
      </c>
      <c r="N90" t="s">
        <v>1367</v>
      </c>
      <c r="O90" t="s">
        <v>1375</v>
      </c>
    </row>
    <row r="91" spans="1:15" x14ac:dyDescent="0.25">
      <c r="A91" t="s">
        <v>1966</v>
      </c>
      <c r="B91" t="s">
        <v>1962</v>
      </c>
      <c r="C91" t="s">
        <v>1965</v>
      </c>
      <c r="D91" t="s">
        <v>43</v>
      </c>
      <c r="E91">
        <v>17231870</v>
      </c>
      <c r="F91" t="s">
        <v>44</v>
      </c>
      <c r="G91" t="s">
        <v>1964</v>
      </c>
      <c r="H91" t="str">
        <f t="shared" si="2"/>
        <v>0111/2023</v>
      </c>
      <c r="I91" t="s">
        <v>2422</v>
      </c>
      <c r="L91" t="s">
        <v>1374</v>
      </c>
      <c r="M91" t="str">
        <f t="shared" si="3"/>
        <v>projectCollections</v>
      </c>
      <c r="N91" t="s">
        <v>1367</v>
      </c>
      <c r="O91" t="s">
        <v>1375</v>
      </c>
    </row>
    <row r="92" spans="1:15" x14ac:dyDescent="0.25">
      <c r="A92" t="s">
        <v>2080</v>
      </c>
      <c r="B92" t="s">
        <v>2077</v>
      </c>
      <c r="C92" t="s">
        <v>2079</v>
      </c>
      <c r="D92" t="s">
        <v>43</v>
      </c>
      <c r="E92">
        <v>17231723</v>
      </c>
      <c r="F92" t="s">
        <v>44</v>
      </c>
      <c r="G92" t="s">
        <v>2078</v>
      </c>
      <c r="H92" t="str">
        <f t="shared" si="2"/>
        <v>0926/2019</v>
      </c>
      <c r="I92" t="s">
        <v>2410</v>
      </c>
      <c r="L92" t="s">
        <v>1374</v>
      </c>
      <c r="M92" t="str">
        <f t="shared" si="3"/>
        <v>projectCollections</v>
      </c>
      <c r="N92" t="s">
        <v>1367</v>
      </c>
      <c r="O92" t="s">
        <v>1375</v>
      </c>
    </row>
    <row r="93" spans="1:15" x14ac:dyDescent="0.25">
      <c r="A93" t="s">
        <v>2076</v>
      </c>
      <c r="B93" t="s">
        <v>2072</v>
      </c>
      <c r="C93" t="s">
        <v>2075</v>
      </c>
      <c r="D93" t="s">
        <v>43</v>
      </c>
      <c r="E93">
        <v>17231724</v>
      </c>
      <c r="F93" t="s">
        <v>44</v>
      </c>
      <c r="G93" t="s">
        <v>2074</v>
      </c>
      <c r="H93" t="str">
        <f t="shared" si="2"/>
        <v>0926/2019</v>
      </c>
      <c r="I93" t="s">
        <v>2410</v>
      </c>
      <c r="L93" t="s">
        <v>1374</v>
      </c>
      <c r="M93" t="str">
        <f t="shared" si="3"/>
        <v>projectCollections</v>
      </c>
      <c r="N93" t="s">
        <v>1367</v>
      </c>
      <c r="O93" t="s">
        <v>1375</v>
      </c>
    </row>
    <row r="94" spans="1:15" x14ac:dyDescent="0.25">
      <c r="A94" t="s">
        <v>2095</v>
      </c>
      <c r="B94" t="s">
        <v>2092</v>
      </c>
      <c r="C94" t="s">
        <v>2094</v>
      </c>
      <c r="D94" t="s">
        <v>43</v>
      </c>
      <c r="E94">
        <v>17231725</v>
      </c>
      <c r="F94" t="s">
        <v>44</v>
      </c>
      <c r="G94" t="s">
        <v>2093</v>
      </c>
      <c r="H94" t="str">
        <f t="shared" si="2"/>
        <v>0926/2019</v>
      </c>
      <c r="I94" t="s">
        <v>2410</v>
      </c>
      <c r="L94" t="s">
        <v>1374</v>
      </c>
      <c r="M94" t="str">
        <f t="shared" si="3"/>
        <v>projectCollections</v>
      </c>
      <c r="N94" t="s">
        <v>1367</v>
      </c>
      <c r="O94" t="s">
        <v>1375</v>
      </c>
    </row>
    <row r="95" spans="1:15" x14ac:dyDescent="0.25">
      <c r="A95" t="s">
        <v>2104</v>
      </c>
      <c r="B95" t="s">
        <v>2101</v>
      </c>
      <c r="C95" t="s">
        <v>2103</v>
      </c>
      <c r="D95" t="s">
        <v>43</v>
      </c>
      <c r="E95">
        <v>17231726</v>
      </c>
      <c r="F95" t="s">
        <v>44</v>
      </c>
      <c r="G95" t="s">
        <v>2102</v>
      </c>
      <c r="H95" t="str">
        <f t="shared" si="2"/>
        <v>0926/2019</v>
      </c>
      <c r="I95" t="s">
        <v>2410</v>
      </c>
      <c r="L95" t="s">
        <v>1374</v>
      </c>
      <c r="M95" t="str">
        <f t="shared" si="3"/>
        <v>projectCollections</v>
      </c>
      <c r="N95" t="s">
        <v>1367</v>
      </c>
      <c r="O95" t="s">
        <v>1375</v>
      </c>
    </row>
    <row r="96" spans="1:15" x14ac:dyDescent="0.25">
      <c r="A96" t="s">
        <v>2085</v>
      </c>
      <c r="B96" t="s">
        <v>2081</v>
      </c>
      <c r="C96" t="s">
        <v>2084</v>
      </c>
      <c r="D96" t="s">
        <v>43</v>
      </c>
      <c r="E96">
        <v>17231727</v>
      </c>
      <c r="F96" t="s">
        <v>44</v>
      </c>
      <c r="G96" t="s">
        <v>2083</v>
      </c>
      <c r="H96" t="str">
        <f t="shared" si="2"/>
        <v>0926/2019</v>
      </c>
      <c r="I96" t="s">
        <v>2410</v>
      </c>
      <c r="K96" t="s">
        <v>2105</v>
      </c>
      <c r="L96" t="s">
        <v>1374</v>
      </c>
      <c r="M96" t="str">
        <f t="shared" si="3"/>
        <v>projectCollections</v>
      </c>
      <c r="N96" t="s">
        <v>1367</v>
      </c>
      <c r="O96" t="s">
        <v>1375</v>
      </c>
    </row>
    <row r="97" spans="1:15" x14ac:dyDescent="0.25">
      <c r="A97" t="s">
        <v>2116</v>
      </c>
      <c r="B97" t="s">
        <v>2086</v>
      </c>
      <c r="C97" t="s">
        <v>2115</v>
      </c>
      <c r="D97" t="s">
        <v>43</v>
      </c>
      <c r="E97">
        <v>17231728</v>
      </c>
      <c r="F97" t="s">
        <v>44</v>
      </c>
      <c r="G97" t="s">
        <v>2114</v>
      </c>
      <c r="H97" t="str">
        <f t="shared" si="2"/>
        <v>0926/2019</v>
      </c>
      <c r="I97" t="s">
        <v>2410</v>
      </c>
      <c r="K97" t="s">
        <v>2086</v>
      </c>
      <c r="L97" t="s">
        <v>1374</v>
      </c>
      <c r="M97" t="str">
        <f t="shared" si="3"/>
        <v>projectCollections</v>
      </c>
      <c r="N97" t="s">
        <v>1367</v>
      </c>
      <c r="O97" t="s">
        <v>1375</v>
      </c>
    </row>
    <row r="98" spans="1:15" x14ac:dyDescent="0.25">
      <c r="A98" t="s">
        <v>2119</v>
      </c>
      <c r="B98" t="s">
        <v>1612</v>
      </c>
      <c r="C98" t="s">
        <v>2118</v>
      </c>
      <c r="D98" t="s">
        <v>43</v>
      </c>
      <c r="E98">
        <v>17231729</v>
      </c>
      <c r="F98" t="s">
        <v>44</v>
      </c>
      <c r="G98" t="s">
        <v>2117</v>
      </c>
      <c r="H98" t="str">
        <f t="shared" si="2"/>
        <v>0926/2019</v>
      </c>
      <c r="I98" t="s">
        <v>2410</v>
      </c>
      <c r="L98" t="s">
        <v>1374</v>
      </c>
      <c r="M98" t="str">
        <f t="shared" si="3"/>
        <v>projectCollections</v>
      </c>
      <c r="N98" t="s">
        <v>1367</v>
      </c>
      <c r="O98" t="s">
        <v>1375</v>
      </c>
    </row>
    <row r="99" spans="1:15" x14ac:dyDescent="0.25">
      <c r="A99" t="s">
        <v>2124</v>
      </c>
      <c r="B99" t="s">
        <v>2121</v>
      </c>
      <c r="C99" t="s">
        <v>2123</v>
      </c>
      <c r="D99" t="s">
        <v>43</v>
      </c>
      <c r="E99">
        <v>17231730</v>
      </c>
      <c r="F99" t="s">
        <v>44</v>
      </c>
      <c r="G99" t="s">
        <v>2122</v>
      </c>
      <c r="H99" t="str">
        <f t="shared" si="2"/>
        <v>0926/2019</v>
      </c>
      <c r="I99" t="s">
        <v>2410</v>
      </c>
      <c r="K99" t="s">
        <v>2120</v>
      </c>
      <c r="L99" t="s">
        <v>1374</v>
      </c>
      <c r="M99" t="str">
        <f t="shared" si="3"/>
        <v>projectCollections</v>
      </c>
      <c r="N99" t="s">
        <v>1367</v>
      </c>
      <c r="O99" t="s">
        <v>1375</v>
      </c>
    </row>
    <row r="100" spans="1:15" x14ac:dyDescent="0.25">
      <c r="A100" t="s">
        <v>2100</v>
      </c>
      <c r="B100" t="s">
        <v>2096</v>
      </c>
      <c r="C100" t="s">
        <v>2099</v>
      </c>
      <c r="D100" t="s">
        <v>43</v>
      </c>
      <c r="E100">
        <v>17231790</v>
      </c>
      <c r="F100" t="s">
        <v>44</v>
      </c>
      <c r="G100" t="s">
        <v>2098</v>
      </c>
      <c r="H100" t="str">
        <f t="shared" si="2"/>
        <v>0720/2020</v>
      </c>
      <c r="I100" t="s">
        <v>2423</v>
      </c>
      <c r="K100" t="s">
        <v>2125</v>
      </c>
      <c r="L100" t="s">
        <v>1374</v>
      </c>
      <c r="M100" t="str">
        <f t="shared" si="3"/>
        <v>projectCollections</v>
      </c>
      <c r="N100" t="s">
        <v>1367</v>
      </c>
      <c r="O100" t="s">
        <v>1375</v>
      </c>
    </row>
    <row r="101" spans="1:15" x14ac:dyDescent="0.25">
      <c r="A101" t="s">
        <v>2112</v>
      </c>
      <c r="B101" t="s">
        <v>2106</v>
      </c>
      <c r="C101" t="s">
        <v>2111</v>
      </c>
      <c r="D101" t="s">
        <v>43</v>
      </c>
      <c r="E101">
        <v>17231731</v>
      </c>
      <c r="F101" t="s">
        <v>44</v>
      </c>
      <c r="G101" t="s">
        <v>2110</v>
      </c>
      <c r="H101" t="str">
        <f t="shared" si="2"/>
        <v>0926/2019</v>
      </c>
      <c r="I101" t="s">
        <v>2410</v>
      </c>
      <c r="L101" t="s">
        <v>1374</v>
      </c>
      <c r="M101" t="str">
        <f t="shared" si="3"/>
        <v>projectCollections</v>
      </c>
      <c r="N101" t="s">
        <v>1367</v>
      </c>
      <c r="O101" t="s">
        <v>1375</v>
      </c>
    </row>
    <row r="102" spans="1:15" x14ac:dyDescent="0.25">
      <c r="A102" t="s">
        <v>2134</v>
      </c>
      <c r="B102" t="s">
        <v>2131</v>
      </c>
      <c r="C102" t="s">
        <v>2133</v>
      </c>
      <c r="D102" t="s">
        <v>43</v>
      </c>
      <c r="E102">
        <v>17231732</v>
      </c>
      <c r="F102" t="s">
        <v>44</v>
      </c>
      <c r="G102" t="s">
        <v>2132</v>
      </c>
      <c r="H102" t="str">
        <f t="shared" si="2"/>
        <v>0926/2019</v>
      </c>
      <c r="I102" t="s">
        <v>2410</v>
      </c>
      <c r="K102" t="s">
        <v>2113</v>
      </c>
      <c r="L102" t="s">
        <v>1374</v>
      </c>
      <c r="M102" t="str">
        <f t="shared" si="3"/>
        <v>projectCollections</v>
      </c>
      <c r="N102" t="s">
        <v>1367</v>
      </c>
      <c r="O102" t="s">
        <v>1375</v>
      </c>
    </row>
    <row r="103" spans="1:15" x14ac:dyDescent="0.25">
      <c r="A103" t="s">
        <v>2130</v>
      </c>
      <c r="B103" t="s">
        <v>2126</v>
      </c>
      <c r="C103" t="s">
        <v>2129</v>
      </c>
      <c r="D103" t="s">
        <v>43</v>
      </c>
      <c r="E103">
        <v>17231733</v>
      </c>
      <c r="F103" t="s">
        <v>44</v>
      </c>
      <c r="G103" t="s">
        <v>2128</v>
      </c>
      <c r="H103" t="str">
        <f t="shared" si="2"/>
        <v>0926/2019</v>
      </c>
      <c r="I103" t="s">
        <v>2410</v>
      </c>
      <c r="L103" t="s">
        <v>1374</v>
      </c>
      <c r="M103" t="str">
        <f t="shared" si="3"/>
        <v>projectCollections</v>
      </c>
      <c r="N103" t="s">
        <v>1367</v>
      </c>
      <c r="O103" t="s">
        <v>1375</v>
      </c>
    </row>
    <row r="104" spans="1:15" x14ac:dyDescent="0.25">
      <c r="A104" t="s">
        <v>2259</v>
      </c>
      <c r="B104" t="s">
        <v>2256</v>
      </c>
      <c r="C104" t="s">
        <v>2258</v>
      </c>
      <c r="D104" t="s">
        <v>43</v>
      </c>
      <c r="E104">
        <v>17231734</v>
      </c>
      <c r="F104" t="s">
        <v>44</v>
      </c>
      <c r="G104" t="s">
        <v>2257</v>
      </c>
      <c r="H104" t="str">
        <f t="shared" si="2"/>
        <v>0926/2019</v>
      </c>
      <c r="I104" t="s">
        <v>2410</v>
      </c>
      <c r="L104" t="s">
        <v>1374</v>
      </c>
      <c r="M104" t="str">
        <f t="shared" si="3"/>
        <v>projectCollections</v>
      </c>
      <c r="N104" t="s">
        <v>1367</v>
      </c>
      <c r="O104" t="s">
        <v>1375</v>
      </c>
    </row>
    <row r="105" spans="1:15" x14ac:dyDescent="0.25">
      <c r="A105" t="s">
        <v>2145</v>
      </c>
      <c r="B105" t="s">
        <v>2142</v>
      </c>
      <c r="C105" t="s">
        <v>2144</v>
      </c>
      <c r="D105" t="s">
        <v>43</v>
      </c>
      <c r="E105">
        <v>17231735</v>
      </c>
      <c r="F105" t="s">
        <v>44</v>
      </c>
      <c r="G105" t="s">
        <v>2143</v>
      </c>
      <c r="H105" t="str">
        <f t="shared" si="2"/>
        <v>0926/2019</v>
      </c>
      <c r="I105" t="s">
        <v>2410</v>
      </c>
      <c r="K105" t="s">
        <v>2260</v>
      </c>
      <c r="L105" t="s">
        <v>1374</v>
      </c>
      <c r="M105" t="str">
        <f t="shared" si="3"/>
        <v>projectCollections</v>
      </c>
      <c r="N105" t="s">
        <v>1367</v>
      </c>
      <c r="O105" t="s">
        <v>1375</v>
      </c>
    </row>
    <row r="106" spans="1:15" x14ac:dyDescent="0.25">
      <c r="A106" t="s">
        <v>2140</v>
      </c>
      <c r="B106" t="s">
        <v>2135</v>
      </c>
      <c r="C106" t="s">
        <v>2139</v>
      </c>
      <c r="D106" t="s">
        <v>43</v>
      </c>
      <c r="E106">
        <v>17231736</v>
      </c>
      <c r="F106" t="s">
        <v>44</v>
      </c>
      <c r="G106" t="s">
        <v>2138</v>
      </c>
      <c r="H106" t="str">
        <f t="shared" si="2"/>
        <v>0926/2019</v>
      </c>
      <c r="I106" t="s">
        <v>2410</v>
      </c>
      <c r="K106" t="s">
        <v>2146</v>
      </c>
      <c r="L106" t="s">
        <v>1374</v>
      </c>
      <c r="M106" t="str">
        <f t="shared" si="3"/>
        <v>projectCollections</v>
      </c>
      <c r="N106" t="s">
        <v>1367</v>
      </c>
      <c r="O106" t="s">
        <v>1375</v>
      </c>
    </row>
    <row r="107" spans="1:15" x14ac:dyDescent="0.25">
      <c r="A107" t="s">
        <v>2154</v>
      </c>
      <c r="B107" t="s">
        <v>2141</v>
      </c>
      <c r="C107" t="s">
        <v>2153</v>
      </c>
      <c r="D107" t="s">
        <v>43</v>
      </c>
      <c r="E107">
        <v>17231737</v>
      </c>
      <c r="F107" t="s">
        <v>44</v>
      </c>
      <c r="G107" t="s">
        <v>2152</v>
      </c>
      <c r="H107" t="str">
        <f t="shared" si="2"/>
        <v>0926/2019</v>
      </c>
      <c r="I107" t="s">
        <v>2410</v>
      </c>
      <c r="K107" t="s">
        <v>2141</v>
      </c>
      <c r="L107" t="s">
        <v>1374</v>
      </c>
      <c r="M107" t="str">
        <f t="shared" si="3"/>
        <v>projectCollections</v>
      </c>
      <c r="N107" t="s">
        <v>1367</v>
      </c>
      <c r="O107" t="s">
        <v>1375</v>
      </c>
    </row>
    <row r="108" spans="1:15" x14ac:dyDescent="0.25">
      <c r="A108" t="s">
        <v>2150</v>
      </c>
      <c r="B108" t="s">
        <v>2147</v>
      </c>
      <c r="C108" t="s">
        <v>2149</v>
      </c>
      <c r="D108" t="s">
        <v>43</v>
      </c>
      <c r="E108">
        <v>17231738</v>
      </c>
      <c r="F108" t="s">
        <v>44</v>
      </c>
      <c r="G108" t="s">
        <v>2148</v>
      </c>
      <c r="H108" t="str">
        <f t="shared" si="2"/>
        <v>0926/2019</v>
      </c>
      <c r="I108" t="s">
        <v>2410</v>
      </c>
      <c r="K108" t="s">
        <v>2155</v>
      </c>
      <c r="L108" t="s">
        <v>1374</v>
      </c>
      <c r="M108" t="str">
        <f t="shared" si="3"/>
        <v>projectCollections</v>
      </c>
      <c r="N108" t="s">
        <v>1367</v>
      </c>
      <c r="O108" t="s">
        <v>1375</v>
      </c>
    </row>
    <row r="109" spans="1:15" x14ac:dyDescent="0.25">
      <c r="A109" t="s">
        <v>2264</v>
      </c>
      <c r="B109" t="s">
        <v>2261</v>
      </c>
      <c r="C109" t="s">
        <v>2263</v>
      </c>
      <c r="D109" t="s">
        <v>43</v>
      </c>
      <c r="E109">
        <v>17231739</v>
      </c>
      <c r="F109" t="s">
        <v>44</v>
      </c>
      <c r="G109" t="s">
        <v>2262</v>
      </c>
      <c r="H109" t="str">
        <f t="shared" si="2"/>
        <v>0926/2019</v>
      </c>
      <c r="I109" t="s">
        <v>2410</v>
      </c>
      <c r="K109" t="s">
        <v>2151</v>
      </c>
      <c r="L109" t="s">
        <v>1374</v>
      </c>
      <c r="M109" t="str">
        <f t="shared" si="3"/>
        <v>projectCollections</v>
      </c>
      <c r="N109" t="s">
        <v>1367</v>
      </c>
      <c r="O109" t="s">
        <v>1375</v>
      </c>
    </row>
    <row r="110" spans="1:15" x14ac:dyDescent="0.25">
      <c r="A110" t="s">
        <v>2164</v>
      </c>
      <c r="B110" t="s">
        <v>2161</v>
      </c>
      <c r="C110" t="s">
        <v>2163</v>
      </c>
      <c r="D110" t="s">
        <v>43</v>
      </c>
      <c r="E110">
        <v>17231740</v>
      </c>
      <c r="F110" t="s">
        <v>44</v>
      </c>
      <c r="G110" t="s">
        <v>2162</v>
      </c>
      <c r="H110" t="str">
        <f t="shared" si="2"/>
        <v>0926/2019</v>
      </c>
      <c r="I110" t="s">
        <v>2410</v>
      </c>
      <c r="L110" t="s">
        <v>1374</v>
      </c>
      <c r="M110" t="str">
        <f t="shared" si="3"/>
        <v>projectCollections</v>
      </c>
      <c r="N110" t="s">
        <v>1367</v>
      </c>
      <c r="O110" t="s">
        <v>1375</v>
      </c>
    </row>
    <row r="111" spans="1:15" x14ac:dyDescent="0.25">
      <c r="A111" t="s">
        <v>2294</v>
      </c>
      <c r="B111" t="s">
        <v>2289</v>
      </c>
      <c r="C111" t="s">
        <v>2293</v>
      </c>
      <c r="D111" t="s">
        <v>43</v>
      </c>
      <c r="E111">
        <v>17231848</v>
      </c>
      <c r="F111" t="s">
        <v>44</v>
      </c>
      <c r="G111" t="s">
        <v>2292</v>
      </c>
      <c r="H111" t="str">
        <f t="shared" si="2"/>
        <v>1006/2021</v>
      </c>
      <c r="I111" t="s">
        <v>2424</v>
      </c>
      <c r="K111" t="s">
        <v>2165</v>
      </c>
      <c r="L111" t="s">
        <v>1374</v>
      </c>
      <c r="M111" t="str">
        <f t="shared" si="3"/>
        <v>projectCollections</v>
      </c>
      <c r="N111" t="s">
        <v>1367</v>
      </c>
      <c r="O111" t="s">
        <v>1375</v>
      </c>
    </row>
    <row r="112" spans="1:15" x14ac:dyDescent="0.25">
      <c r="A112" t="s">
        <v>2159</v>
      </c>
      <c r="B112" t="s">
        <v>2156</v>
      </c>
      <c r="C112" t="s">
        <v>2158</v>
      </c>
      <c r="D112" t="s">
        <v>43</v>
      </c>
      <c r="E112">
        <v>17231741</v>
      </c>
      <c r="F112" t="s">
        <v>44</v>
      </c>
      <c r="G112" t="s">
        <v>2157</v>
      </c>
      <c r="H112" t="str">
        <f t="shared" si="2"/>
        <v>0926/2019</v>
      </c>
      <c r="I112" t="s">
        <v>2410</v>
      </c>
      <c r="K112" t="s">
        <v>2295</v>
      </c>
      <c r="L112" t="s">
        <v>1374</v>
      </c>
      <c r="M112" t="str">
        <f t="shared" si="3"/>
        <v>projectCollections</v>
      </c>
      <c r="N112" t="s">
        <v>1367</v>
      </c>
      <c r="O112" t="s">
        <v>1375</v>
      </c>
    </row>
    <row r="113" spans="1:15" x14ac:dyDescent="0.25">
      <c r="A113" t="s">
        <v>2174</v>
      </c>
      <c r="B113" t="s">
        <v>2171</v>
      </c>
      <c r="C113" t="s">
        <v>2173</v>
      </c>
      <c r="D113" t="s">
        <v>43</v>
      </c>
      <c r="E113">
        <v>17231742</v>
      </c>
      <c r="F113" t="s">
        <v>44</v>
      </c>
      <c r="G113" t="s">
        <v>2172</v>
      </c>
      <c r="H113" t="str">
        <f t="shared" si="2"/>
        <v>0926/2019</v>
      </c>
      <c r="I113" t="s">
        <v>2410</v>
      </c>
      <c r="K113" t="s">
        <v>2160</v>
      </c>
      <c r="L113" t="s">
        <v>1374</v>
      </c>
      <c r="M113" t="str">
        <f t="shared" si="3"/>
        <v>projectCollections</v>
      </c>
      <c r="N113" t="s">
        <v>1367</v>
      </c>
      <c r="O113" t="s">
        <v>1375</v>
      </c>
    </row>
    <row r="114" spans="1:15" x14ac:dyDescent="0.25">
      <c r="A114" t="s">
        <v>1917</v>
      </c>
      <c r="B114" t="s">
        <v>1912</v>
      </c>
      <c r="C114" t="s">
        <v>1916</v>
      </c>
      <c r="D114" t="s">
        <v>43</v>
      </c>
      <c r="E114">
        <v>17231888</v>
      </c>
      <c r="F114" t="s">
        <v>44</v>
      </c>
      <c r="G114" t="s">
        <v>1915</v>
      </c>
      <c r="H114" t="str">
        <f t="shared" si="2"/>
        <v>0605/2024</v>
      </c>
      <c r="I114" t="s">
        <v>2425</v>
      </c>
      <c r="L114" t="s">
        <v>1374</v>
      </c>
      <c r="M114" t="str">
        <f t="shared" si="3"/>
        <v>projectCollections</v>
      </c>
      <c r="N114" t="s">
        <v>1367</v>
      </c>
      <c r="O114" t="s">
        <v>1375</v>
      </c>
    </row>
    <row r="115" spans="1:15" x14ac:dyDescent="0.25">
      <c r="A115" t="s">
        <v>2169</v>
      </c>
      <c r="B115" t="s">
        <v>2166</v>
      </c>
      <c r="C115" t="s">
        <v>2168</v>
      </c>
      <c r="D115" t="s">
        <v>43</v>
      </c>
      <c r="E115">
        <v>17231743</v>
      </c>
      <c r="F115" t="s">
        <v>44</v>
      </c>
      <c r="G115" t="s">
        <v>2167</v>
      </c>
      <c r="H115" t="str">
        <f t="shared" si="2"/>
        <v>0926/2019</v>
      </c>
      <c r="I115" t="s">
        <v>2410</v>
      </c>
      <c r="L115" t="s">
        <v>1374</v>
      </c>
      <c r="M115" t="str">
        <f t="shared" si="3"/>
        <v>projectCollections</v>
      </c>
      <c r="N115" t="s">
        <v>1367</v>
      </c>
      <c r="O115" t="s">
        <v>1375</v>
      </c>
    </row>
    <row r="116" spans="1:15" x14ac:dyDescent="0.25">
      <c r="A116" t="s">
        <v>2178</v>
      </c>
      <c r="B116" t="s">
        <v>2175</v>
      </c>
      <c r="C116" t="s">
        <v>2177</v>
      </c>
      <c r="D116" t="s">
        <v>43</v>
      </c>
      <c r="E116">
        <v>17231744</v>
      </c>
      <c r="F116" t="s">
        <v>44</v>
      </c>
      <c r="G116" t="s">
        <v>2176</v>
      </c>
      <c r="H116" t="str">
        <f t="shared" si="2"/>
        <v>0926/2019</v>
      </c>
      <c r="I116" t="s">
        <v>2410</v>
      </c>
      <c r="K116" t="s">
        <v>2170</v>
      </c>
      <c r="L116" t="s">
        <v>1374</v>
      </c>
      <c r="M116" t="str">
        <f t="shared" si="3"/>
        <v>projectCollections</v>
      </c>
      <c r="N116" t="s">
        <v>1367</v>
      </c>
      <c r="O116" t="s">
        <v>1375</v>
      </c>
    </row>
    <row r="117" spans="1:15" x14ac:dyDescent="0.25">
      <c r="A117" t="s">
        <v>2186</v>
      </c>
      <c r="B117" t="s">
        <v>1708</v>
      </c>
      <c r="C117" t="s">
        <v>2185</v>
      </c>
      <c r="D117" t="s">
        <v>43</v>
      </c>
      <c r="E117">
        <v>17231745</v>
      </c>
      <c r="F117" t="s">
        <v>44</v>
      </c>
      <c r="G117" t="s">
        <v>2184</v>
      </c>
      <c r="H117" t="str">
        <f t="shared" si="2"/>
        <v>0926/2019</v>
      </c>
      <c r="I117" t="s">
        <v>2410</v>
      </c>
      <c r="K117" t="s">
        <v>2179</v>
      </c>
      <c r="L117" t="s">
        <v>1374</v>
      </c>
      <c r="M117" t="str">
        <f t="shared" si="3"/>
        <v>projectCollections</v>
      </c>
      <c r="N117" t="s">
        <v>1367</v>
      </c>
      <c r="O117" t="s">
        <v>1375</v>
      </c>
    </row>
    <row r="118" spans="1:15" x14ac:dyDescent="0.25">
      <c r="A118" t="s">
        <v>2183</v>
      </c>
      <c r="B118" t="s">
        <v>2180</v>
      </c>
      <c r="C118" t="s">
        <v>2182</v>
      </c>
      <c r="D118" t="s">
        <v>43</v>
      </c>
      <c r="E118">
        <v>17231746</v>
      </c>
      <c r="F118" t="s">
        <v>44</v>
      </c>
      <c r="G118" t="s">
        <v>2181</v>
      </c>
      <c r="H118" t="str">
        <f t="shared" si="2"/>
        <v>0926/2019</v>
      </c>
      <c r="I118" t="s">
        <v>2410</v>
      </c>
      <c r="K118" t="s">
        <v>2187</v>
      </c>
      <c r="L118" t="s">
        <v>1374</v>
      </c>
      <c r="M118" t="str">
        <f t="shared" si="3"/>
        <v>projectCollections</v>
      </c>
      <c r="N118" t="s">
        <v>1367</v>
      </c>
      <c r="O118" t="s">
        <v>1375</v>
      </c>
    </row>
    <row r="119" spans="1:15" x14ac:dyDescent="0.25">
      <c r="A119" t="s">
        <v>2196</v>
      </c>
      <c r="B119" t="s">
        <v>2193</v>
      </c>
      <c r="C119" t="s">
        <v>2195</v>
      </c>
      <c r="D119" t="s">
        <v>43</v>
      </c>
      <c r="E119">
        <v>17231747</v>
      </c>
      <c r="F119" t="s">
        <v>44</v>
      </c>
      <c r="G119" t="s">
        <v>2194</v>
      </c>
      <c r="H119" t="str">
        <f t="shared" si="2"/>
        <v>0926/2019</v>
      </c>
      <c r="I119" t="s">
        <v>2410</v>
      </c>
      <c r="L119" t="s">
        <v>1374</v>
      </c>
      <c r="M119" t="str">
        <f t="shared" si="3"/>
        <v>projectCollections</v>
      </c>
      <c r="N119" t="s">
        <v>1367</v>
      </c>
      <c r="O119" t="s">
        <v>1375</v>
      </c>
    </row>
    <row r="120" spans="1:15" x14ac:dyDescent="0.25">
      <c r="A120" t="s">
        <v>2191</v>
      </c>
      <c r="B120" t="s">
        <v>1648</v>
      </c>
      <c r="C120" t="s">
        <v>2190</v>
      </c>
      <c r="D120" t="s">
        <v>43</v>
      </c>
      <c r="E120">
        <v>17231748</v>
      </c>
      <c r="F120" t="s">
        <v>44</v>
      </c>
      <c r="G120" t="s">
        <v>2189</v>
      </c>
      <c r="H120" t="str">
        <f t="shared" si="2"/>
        <v>0926/2019</v>
      </c>
      <c r="I120" t="s">
        <v>2410</v>
      </c>
      <c r="K120" t="s">
        <v>2197</v>
      </c>
      <c r="L120" t="s">
        <v>1374</v>
      </c>
      <c r="M120" t="str">
        <f t="shared" si="3"/>
        <v>projectCollections</v>
      </c>
      <c r="N120" t="s">
        <v>1367</v>
      </c>
      <c r="O120" t="s">
        <v>1375</v>
      </c>
    </row>
    <row r="121" spans="1:15" x14ac:dyDescent="0.25">
      <c r="A121" t="s">
        <v>1376</v>
      </c>
      <c r="B121" t="s">
        <v>1368</v>
      </c>
      <c r="C121" t="s">
        <v>1373</v>
      </c>
      <c r="D121" t="s">
        <v>43</v>
      </c>
      <c r="E121">
        <v>17231890</v>
      </c>
      <c r="F121" t="s">
        <v>44</v>
      </c>
      <c r="G121" t="s">
        <v>1372</v>
      </c>
      <c r="H121" t="str">
        <f t="shared" si="2"/>
        <v>0913/2024</v>
      </c>
      <c r="I121" t="s">
        <v>2426</v>
      </c>
      <c r="K121" t="s">
        <v>2192</v>
      </c>
      <c r="L121" t="s">
        <v>1374</v>
      </c>
      <c r="M121" t="str">
        <f t="shared" si="3"/>
        <v>projectCollections</v>
      </c>
      <c r="N121" t="s">
        <v>1367</v>
      </c>
      <c r="O121" t="s">
        <v>1375</v>
      </c>
    </row>
    <row r="122" spans="1:15" x14ac:dyDescent="0.25">
      <c r="A122" t="s">
        <v>2204</v>
      </c>
      <c r="B122" t="s">
        <v>2201</v>
      </c>
      <c r="C122" t="s">
        <v>2203</v>
      </c>
      <c r="D122" t="s">
        <v>43</v>
      </c>
      <c r="E122">
        <v>17231749</v>
      </c>
      <c r="F122" t="s">
        <v>44</v>
      </c>
      <c r="G122" t="s">
        <v>2202</v>
      </c>
      <c r="H122" t="str">
        <f t="shared" si="2"/>
        <v>0926/2019</v>
      </c>
      <c r="I122" t="s">
        <v>2410</v>
      </c>
      <c r="L122" t="s">
        <v>1374</v>
      </c>
      <c r="M122" t="str">
        <f t="shared" si="3"/>
        <v>projectCollections</v>
      </c>
      <c r="N122" t="s">
        <v>1367</v>
      </c>
      <c r="O122" t="s">
        <v>1375</v>
      </c>
    </row>
    <row r="123" spans="1:15" x14ac:dyDescent="0.25">
      <c r="A123" t="s">
        <v>2268</v>
      </c>
      <c r="B123" t="s">
        <v>2265</v>
      </c>
      <c r="C123" t="s">
        <v>2267</v>
      </c>
      <c r="D123" t="s">
        <v>43</v>
      </c>
      <c r="E123">
        <v>17231750</v>
      </c>
      <c r="F123" t="s">
        <v>44</v>
      </c>
      <c r="G123" t="s">
        <v>2266</v>
      </c>
      <c r="H123" t="str">
        <f t="shared" si="2"/>
        <v>0926/2019</v>
      </c>
      <c r="I123" t="s">
        <v>2410</v>
      </c>
      <c r="K123" t="s">
        <v>2205</v>
      </c>
      <c r="L123" t="s">
        <v>1374</v>
      </c>
      <c r="M123" t="str">
        <f t="shared" si="3"/>
        <v>projectCollections</v>
      </c>
      <c r="N123" t="s">
        <v>1367</v>
      </c>
      <c r="O123" t="s">
        <v>1375</v>
      </c>
    </row>
    <row r="124" spans="1:15" x14ac:dyDescent="0.25">
      <c r="A124" t="s">
        <v>2200</v>
      </c>
      <c r="B124" t="s">
        <v>1700</v>
      </c>
      <c r="C124" t="s">
        <v>2199</v>
      </c>
      <c r="D124" t="s">
        <v>43</v>
      </c>
      <c r="E124">
        <v>17231751</v>
      </c>
      <c r="F124" t="s">
        <v>44</v>
      </c>
      <c r="G124" t="s">
        <v>2198</v>
      </c>
      <c r="H124" t="str">
        <f t="shared" si="2"/>
        <v>0926/2019</v>
      </c>
      <c r="I124" t="s">
        <v>2410</v>
      </c>
      <c r="K124" t="s">
        <v>2269</v>
      </c>
      <c r="L124" t="s">
        <v>1374</v>
      </c>
      <c r="M124" t="str">
        <f t="shared" si="3"/>
        <v>projectCollections</v>
      </c>
      <c r="N124" t="s">
        <v>1367</v>
      </c>
      <c r="O124" t="s">
        <v>1375</v>
      </c>
    </row>
    <row r="125" spans="1:15" x14ac:dyDescent="0.25">
      <c r="A125" t="s">
        <v>2214</v>
      </c>
      <c r="B125" t="s">
        <v>2211</v>
      </c>
      <c r="C125" t="s">
        <v>2213</v>
      </c>
      <c r="D125" t="s">
        <v>43</v>
      </c>
      <c r="E125">
        <v>17231752</v>
      </c>
      <c r="F125" t="s">
        <v>44</v>
      </c>
      <c r="G125" t="s">
        <v>2212</v>
      </c>
      <c r="H125" t="str">
        <f t="shared" si="2"/>
        <v>0926/2019</v>
      </c>
      <c r="I125" t="s">
        <v>2410</v>
      </c>
      <c r="L125" t="s">
        <v>1374</v>
      </c>
      <c r="M125" t="str">
        <f t="shared" si="3"/>
        <v>projectCollections</v>
      </c>
      <c r="N125" t="s">
        <v>1367</v>
      </c>
      <c r="O125" t="s">
        <v>1375</v>
      </c>
    </row>
    <row r="126" spans="1:15" x14ac:dyDescent="0.25">
      <c r="A126" t="s">
        <v>2219</v>
      </c>
      <c r="B126" t="s">
        <v>2216</v>
      </c>
      <c r="C126" t="s">
        <v>2218</v>
      </c>
      <c r="D126" t="s">
        <v>43</v>
      </c>
      <c r="E126">
        <v>17231753</v>
      </c>
      <c r="F126" t="s">
        <v>44</v>
      </c>
      <c r="G126" t="s">
        <v>2217</v>
      </c>
      <c r="H126" t="str">
        <f t="shared" si="2"/>
        <v>0926/2019</v>
      </c>
      <c r="I126" t="s">
        <v>2410</v>
      </c>
      <c r="K126" t="s">
        <v>2215</v>
      </c>
      <c r="L126" t="s">
        <v>1374</v>
      </c>
      <c r="M126" t="str">
        <f t="shared" si="3"/>
        <v>projectCollections</v>
      </c>
      <c r="N126" t="s">
        <v>1367</v>
      </c>
      <c r="O126" t="s">
        <v>1375</v>
      </c>
    </row>
    <row r="127" spans="1:15" x14ac:dyDescent="0.25">
      <c r="A127" t="s">
        <v>2223</v>
      </c>
      <c r="B127" t="s">
        <v>2220</v>
      </c>
      <c r="C127" t="s">
        <v>2222</v>
      </c>
      <c r="D127" t="s">
        <v>43</v>
      </c>
      <c r="E127">
        <v>17231754</v>
      </c>
      <c r="F127" t="s">
        <v>44</v>
      </c>
      <c r="G127" t="s">
        <v>2221</v>
      </c>
      <c r="H127" t="str">
        <f t="shared" si="2"/>
        <v>0926/2019</v>
      </c>
      <c r="I127" t="s">
        <v>2410</v>
      </c>
      <c r="L127" t="s">
        <v>1374</v>
      </c>
      <c r="M127" t="str">
        <f t="shared" si="3"/>
        <v>projectCollections</v>
      </c>
      <c r="N127" t="s">
        <v>1367</v>
      </c>
      <c r="O127" t="s">
        <v>1375</v>
      </c>
    </row>
    <row r="128" spans="1:15" x14ac:dyDescent="0.25">
      <c r="A128" t="s">
        <v>2279</v>
      </c>
      <c r="B128" t="s">
        <v>2276</v>
      </c>
      <c r="C128" t="s">
        <v>2278</v>
      </c>
      <c r="D128" t="s">
        <v>43</v>
      </c>
      <c r="E128">
        <v>17231755</v>
      </c>
      <c r="F128" t="s">
        <v>44</v>
      </c>
      <c r="G128" t="s">
        <v>2277</v>
      </c>
      <c r="H128" t="str">
        <f t="shared" si="2"/>
        <v>0926/2019</v>
      </c>
      <c r="I128" t="s">
        <v>2410</v>
      </c>
      <c r="L128" t="s">
        <v>1374</v>
      </c>
      <c r="M128" t="str">
        <f t="shared" si="3"/>
        <v>projectCollections</v>
      </c>
      <c r="N128" t="s">
        <v>1367</v>
      </c>
      <c r="O128" t="s">
        <v>1375</v>
      </c>
    </row>
    <row r="129" spans="1:15" x14ac:dyDescent="0.25">
      <c r="A129" t="s">
        <v>1554</v>
      </c>
      <c r="B129" t="s">
        <v>1549</v>
      </c>
      <c r="C129" t="s">
        <v>1553</v>
      </c>
      <c r="D129" t="s">
        <v>43</v>
      </c>
      <c r="E129">
        <v>17231839</v>
      </c>
      <c r="F129" t="s">
        <v>44</v>
      </c>
      <c r="G129" t="s">
        <v>1552</v>
      </c>
      <c r="H129" t="str">
        <f t="shared" si="2"/>
        <v>0726/2021</v>
      </c>
      <c r="I129" t="s">
        <v>2427</v>
      </c>
      <c r="L129" t="s">
        <v>1374</v>
      </c>
      <c r="M129" t="str">
        <f t="shared" si="3"/>
        <v>projectCollections</v>
      </c>
      <c r="N129" t="s">
        <v>1367</v>
      </c>
      <c r="O129" t="s">
        <v>1375</v>
      </c>
    </row>
    <row r="130" spans="1:15" x14ac:dyDescent="0.25">
      <c r="A130" t="s">
        <v>2227</v>
      </c>
      <c r="B130" t="s">
        <v>2224</v>
      </c>
      <c r="C130" t="s">
        <v>2226</v>
      </c>
      <c r="D130" t="s">
        <v>43</v>
      </c>
      <c r="E130">
        <v>17231756</v>
      </c>
      <c r="F130" t="s">
        <v>44</v>
      </c>
      <c r="G130" t="s">
        <v>2225</v>
      </c>
      <c r="H130" t="str">
        <f t="shared" ref="H130:H193" si="4">TEXT(DATEVALUE(LEFT(G130,10)),"MMDD/YYYY")</f>
        <v>0926/2019</v>
      </c>
      <c r="I130" t="s">
        <v>2410</v>
      </c>
      <c r="L130" t="s">
        <v>1374</v>
      </c>
      <c r="M130" t="str">
        <f t="shared" ref="M130:M193" si="5">MID(L130, 33, 18)</f>
        <v>projectCollections</v>
      </c>
      <c r="N130" t="s">
        <v>1367</v>
      </c>
      <c r="O130" t="s">
        <v>1375</v>
      </c>
    </row>
    <row r="131" spans="1:15" x14ac:dyDescent="0.25">
      <c r="A131" t="s">
        <v>2231</v>
      </c>
      <c r="B131" t="s">
        <v>2228</v>
      </c>
      <c r="C131" t="s">
        <v>2230</v>
      </c>
      <c r="D131" t="s">
        <v>43</v>
      </c>
      <c r="E131">
        <v>17231757</v>
      </c>
      <c r="F131" t="s">
        <v>44</v>
      </c>
      <c r="G131" t="s">
        <v>2229</v>
      </c>
      <c r="H131" t="str">
        <f t="shared" si="4"/>
        <v>0926/2019</v>
      </c>
      <c r="I131" t="s">
        <v>2410</v>
      </c>
      <c r="L131" t="s">
        <v>1374</v>
      </c>
      <c r="M131" t="str">
        <f t="shared" si="5"/>
        <v>projectCollections</v>
      </c>
      <c r="N131" t="s">
        <v>1367</v>
      </c>
      <c r="O131" t="s">
        <v>1375</v>
      </c>
    </row>
    <row r="132" spans="1:15" x14ac:dyDescent="0.25">
      <c r="A132" t="s">
        <v>1518</v>
      </c>
      <c r="B132" t="s">
        <v>1514</v>
      </c>
      <c r="C132" t="s">
        <v>1517</v>
      </c>
      <c r="D132" t="s">
        <v>43</v>
      </c>
      <c r="E132">
        <v>17231892</v>
      </c>
      <c r="F132" t="s">
        <v>44</v>
      </c>
      <c r="G132" t="s">
        <v>1516</v>
      </c>
      <c r="H132" t="str">
        <f t="shared" si="4"/>
        <v>0913/2024</v>
      </c>
      <c r="I132" t="s">
        <v>2426</v>
      </c>
      <c r="K132" t="s">
        <v>2232</v>
      </c>
      <c r="L132" t="s">
        <v>1374</v>
      </c>
      <c r="M132" t="str">
        <f t="shared" si="5"/>
        <v>projectCollections</v>
      </c>
      <c r="N132" t="s">
        <v>1367</v>
      </c>
      <c r="O132" t="s">
        <v>1375</v>
      </c>
    </row>
    <row r="133" spans="1:15" x14ac:dyDescent="0.25">
      <c r="A133" t="s">
        <v>2236</v>
      </c>
      <c r="B133" t="s">
        <v>2233</v>
      </c>
      <c r="C133" t="s">
        <v>2235</v>
      </c>
      <c r="D133" t="s">
        <v>43</v>
      </c>
      <c r="E133">
        <v>17231758</v>
      </c>
      <c r="F133" t="s">
        <v>44</v>
      </c>
      <c r="G133" t="s">
        <v>2234</v>
      </c>
      <c r="H133" t="str">
        <f t="shared" si="4"/>
        <v>0926/2019</v>
      </c>
      <c r="I133" t="s">
        <v>2410</v>
      </c>
      <c r="L133" t="s">
        <v>1374</v>
      </c>
      <c r="M133" t="str">
        <f t="shared" si="5"/>
        <v>projectCollections</v>
      </c>
      <c r="N133" t="s">
        <v>1367</v>
      </c>
      <c r="O133" t="s">
        <v>1375</v>
      </c>
    </row>
    <row r="134" spans="1:15" x14ac:dyDescent="0.25">
      <c r="A134" t="s">
        <v>2209</v>
      </c>
      <c r="B134" t="s">
        <v>2206</v>
      </c>
      <c r="C134" t="s">
        <v>2208</v>
      </c>
      <c r="D134" t="s">
        <v>43</v>
      </c>
      <c r="E134">
        <v>17231759</v>
      </c>
      <c r="F134" t="s">
        <v>44</v>
      </c>
      <c r="G134" t="s">
        <v>2207</v>
      </c>
      <c r="H134" t="str">
        <f t="shared" si="4"/>
        <v>0926/2019</v>
      </c>
      <c r="I134" t="s">
        <v>2410</v>
      </c>
      <c r="K134" t="s">
        <v>2237</v>
      </c>
      <c r="L134" t="s">
        <v>1374</v>
      </c>
      <c r="M134" t="str">
        <f t="shared" si="5"/>
        <v>projectCollections</v>
      </c>
      <c r="N134" t="s">
        <v>1367</v>
      </c>
      <c r="O134" t="s">
        <v>1375</v>
      </c>
    </row>
    <row r="135" spans="1:15" x14ac:dyDescent="0.25">
      <c r="A135" t="s">
        <v>2241</v>
      </c>
      <c r="B135" t="s">
        <v>2238</v>
      </c>
      <c r="C135" t="s">
        <v>2240</v>
      </c>
      <c r="D135" t="s">
        <v>43</v>
      </c>
      <c r="E135">
        <v>17231760</v>
      </c>
      <c r="F135" t="s">
        <v>44</v>
      </c>
      <c r="G135" t="s">
        <v>2239</v>
      </c>
      <c r="H135" t="str">
        <f t="shared" si="4"/>
        <v>0926/2019</v>
      </c>
      <c r="I135" t="s">
        <v>2410</v>
      </c>
      <c r="K135" t="s">
        <v>2210</v>
      </c>
      <c r="L135" t="s">
        <v>1374</v>
      </c>
      <c r="M135" t="str">
        <f t="shared" si="5"/>
        <v>projectCollections</v>
      </c>
      <c r="N135" t="s">
        <v>1367</v>
      </c>
      <c r="O135" t="s">
        <v>1375</v>
      </c>
    </row>
    <row r="136" spans="1:15" x14ac:dyDescent="0.25">
      <c r="A136" t="s">
        <v>535</v>
      </c>
      <c r="B136" t="s">
        <v>529</v>
      </c>
      <c r="C136" t="s">
        <v>534</v>
      </c>
      <c r="D136" t="s">
        <v>43</v>
      </c>
      <c r="E136">
        <v>354</v>
      </c>
      <c r="F136" t="s">
        <v>44</v>
      </c>
      <c r="G136" t="s">
        <v>533</v>
      </c>
      <c r="H136" t="str">
        <f t="shared" si="4"/>
        <v>0522/2024</v>
      </c>
      <c r="I136" t="s">
        <v>2428</v>
      </c>
      <c r="L136" t="s">
        <v>467</v>
      </c>
      <c r="M136" t="str">
        <f t="shared" si="5"/>
        <v>projectCollections</v>
      </c>
      <c r="N136" t="s">
        <v>460</v>
      </c>
      <c r="O136" t="s">
        <v>468</v>
      </c>
    </row>
    <row r="137" spans="1:15" x14ac:dyDescent="0.25">
      <c r="A137" t="s">
        <v>469</v>
      </c>
      <c r="B137" t="s">
        <v>461</v>
      </c>
      <c r="C137" t="s">
        <v>466</v>
      </c>
      <c r="D137" t="s">
        <v>43</v>
      </c>
      <c r="E137">
        <v>601</v>
      </c>
      <c r="F137" t="s">
        <v>44</v>
      </c>
      <c r="G137" t="s">
        <v>465</v>
      </c>
      <c r="H137" t="str">
        <f t="shared" si="4"/>
        <v>0306/2025</v>
      </c>
      <c r="I137" t="s">
        <v>2429</v>
      </c>
      <c r="L137" t="s">
        <v>467</v>
      </c>
      <c r="M137" t="str">
        <f t="shared" si="5"/>
        <v>projectCollections</v>
      </c>
      <c r="N137" t="s">
        <v>460</v>
      </c>
      <c r="O137" t="s">
        <v>468</v>
      </c>
    </row>
    <row r="138" spans="1:15" x14ac:dyDescent="0.25">
      <c r="A138" t="s">
        <v>479</v>
      </c>
      <c r="B138" t="s">
        <v>475</v>
      </c>
      <c r="C138" t="s">
        <v>478</v>
      </c>
      <c r="D138" t="s">
        <v>43</v>
      </c>
      <c r="E138">
        <v>531</v>
      </c>
      <c r="F138" t="s">
        <v>44</v>
      </c>
      <c r="G138" t="s">
        <v>477</v>
      </c>
      <c r="H138" t="str">
        <f t="shared" si="4"/>
        <v>1028/2024</v>
      </c>
      <c r="I138" t="s">
        <v>2430</v>
      </c>
      <c r="L138" t="s">
        <v>467</v>
      </c>
      <c r="M138" t="str">
        <f t="shared" si="5"/>
        <v>projectCollections</v>
      </c>
      <c r="N138" t="s">
        <v>460</v>
      </c>
      <c r="O138" t="s">
        <v>468</v>
      </c>
    </row>
    <row r="139" spans="1:15" x14ac:dyDescent="0.25">
      <c r="A139" t="s">
        <v>2336</v>
      </c>
      <c r="B139" t="s">
        <v>2330</v>
      </c>
      <c r="C139" t="s">
        <v>2335</v>
      </c>
      <c r="D139" t="s">
        <v>43</v>
      </c>
      <c r="E139">
        <v>614</v>
      </c>
      <c r="F139" t="s">
        <v>44</v>
      </c>
      <c r="G139" t="s">
        <v>2334</v>
      </c>
      <c r="H139" t="str">
        <f t="shared" si="4"/>
        <v>0317/2025</v>
      </c>
      <c r="I139" t="s">
        <v>2431</v>
      </c>
      <c r="K139" t="s">
        <v>480</v>
      </c>
      <c r="L139" t="s">
        <v>467</v>
      </c>
      <c r="M139" t="str">
        <f t="shared" si="5"/>
        <v>projectCollections</v>
      </c>
      <c r="N139" t="s">
        <v>460</v>
      </c>
      <c r="O139" t="s">
        <v>468</v>
      </c>
    </row>
    <row r="140" spans="1:15" x14ac:dyDescent="0.25">
      <c r="A140" t="s">
        <v>541</v>
      </c>
      <c r="B140" t="s">
        <v>536</v>
      </c>
      <c r="C140" t="s">
        <v>540</v>
      </c>
      <c r="D140" t="s">
        <v>43</v>
      </c>
      <c r="E140">
        <v>461</v>
      </c>
      <c r="F140" t="s">
        <v>44</v>
      </c>
      <c r="G140" t="s">
        <v>539</v>
      </c>
      <c r="H140" t="str">
        <f t="shared" si="4"/>
        <v>0828/2024</v>
      </c>
      <c r="I140" t="s">
        <v>2432</v>
      </c>
      <c r="L140" t="s">
        <v>467</v>
      </c>
      <c r="M140" t="str">
        <f t="shared" si="5"/>
        <v>projectCollections</v>
      </c>
      <c r="N140" t="s">
        <v>460</v>
      </c>
      <c r="O140" t="s">
        <v>468</v>
      </c>
    </row>
    <row r="141" spans="1:15" x14ac:dyDescent="0.25">
      <c r="A141" t="s">
        <v>547</v>
      </c>
      <c r="B141" t="s">
        <v>542</v>
      </c>
      <c r="C141" t="s">
        <v>546</v>
      </c>
      <c r="D141" t="s">
        <v>43</v>
      </c>
      <c r="E141">
        <v>460</v>
      </c>
      <c r="F141" t="s">
        <v>44</v>
      </c>
      <c r="G141" t="s">
        <v>545</v>
      </c>
      <c r="H141" t="str">
        <f t="shared" si="4"/>
        <v>0826/2024</v>
      </c>
      <c r="I141" t="s">
        <v>2433</v>
      </c>
      <c r="L141" t="s">
        <v>467</v>
      </c>
      <c r="M141" t="str">
        <f t="shared" si="5"/>
        <v>projectCollections</v>
      </c>
      <c r="N141" t="s">
        <v>460</v>
      </c>
      <c r="O141" t="s">
        <v>468</v>
      </c>
    </row>
    <row r="142" spans="1:15" x14ac:dyDescent="0.25">
      <c r="A142" t="s">
        <v>553</v>
      </c>
      <c r="B142" t="s">
        <v>548</v>
      </c>
      <c r="C142" t="s">
        <v>552</v>
      </c>
      <c r="D142" t="s">
        <v>43</v>
      </c>
      <c r="E142">
        <v>550</v>
      </c>
      <c r="F142" t="s">
        <v>44</v>
      </c>
      <c r="G142" t="s">
        <v>551</v>
      </c>
      <c r="H142" t="str">
        <f t="shared" si="4"/>
        <v>1104/2024</v>
      </c>
      <c r="I142" t="s">
        <v>2434</v>
      </c>
      <c r="L142" t="s">
        <v>467</v>
      </c>
      <c r="M142" t="str">
        <f t="shared" si="5"/>
        <v>projectCollections</v>
      </c>
      <c r="N142" t="s">
        <v>460</v>
      </c>
      <c r="O142" t="s">
        <v>468</v>
      </c>
    </row>
    <row r="143" spans="1:15" x14ac:dyDescent="0.25">
      <c r="A143" t="s">
        <v>560</v>
      </c>
      <c r="B143" t="s">
        <v>554</v>
      </c>
      <c r="C143" t="s">
        <v>559</v>
      </c>
      <c r="D143" t="s">
        <v>43</v>
      </c>
      <c r="E143">
        <v>414</v>
      </c>
      <c r="F143" t="s">
        <v>44</v>
      </c>
      <c r="G143" t="s">
        <v>558</v>
      </c>
      <c r="H143" t="str">
        <f t="shared" si="4"/>
        <v>0710/2024</v>
      </c>
      <c r="I143" t="s">
        <v>2435</v>
      </c>
      <c r="L143" t="s">
        <v>467</v>
      </c>
      <c r="M143" t="str">
        <f t="shared" si="5"/>
        <v>projectCollections</v>
      </c>
      <c r="N143" t="s">
        <v>460</v>
      </c>
      <c r="O143" t="s">
        <v>468</v>
      </c>
    </row>
    <row r="144" spans="1:15" x14ac:dyDescent="0.25">
      <c r="A144" t="s">
        <v>566</v>
      </c>
      <c r="B144" t="s">
        <v>561</v>
      </c>
      <c r="C144" t="s">
        <v>565</v>
      </c>
      <c r="D144" t="s">
        <v>43</v>
      </c>
      <c r="E144">
        <v>498</v>
      </c>
      <c r="F144" t="s">
        <v>44</v>
      </c>
      <c r="G144" t="s">
        <v>564</v>
      </c>
      <c r="H144" t="str">
        <f t="shared" si="4"/>
        <v>1009/2024</v>
      </c>
      <c r="I144" t="s">
        <v>2436</v>
      </c>
      <c r="L144" t="s">
        <v>467</v>
      </c>
      <c r="M144" t="str">
        <f t="shared" si="5"/>
        <v>projectCollections</v>
      </c>
      <c r="N144" t="s">
        <v>460</v>
      </c>
      <c r="O144" t="s">
        <v>468</v>
      </c>
    </row>
    <row r="145" spans="1:15" x14ac:dyDescent="0.25">
      <c r="A145" t="s">
        <v>491</v>
      </c>
      <c r="B145" t="s">
        <v>487</v>
      </c>
      <c r="C145" t="s">
        <v>490</v>
      </c>
      <c r="D145" t="s">
        <v>43</v>
      </c>
      <c r="E145">
        <v>45</v>
      </c>
      <c r="F145" t="s">
        <v>44</v>
      </c>
      <c r="G145" t="s">
        <v>489</v>
      </c>
      <c r="H145" t="str">
        <f t="shared" si="4"/>
        <v>0614/2023</v>
      </c>
      <c r="I145" t="s">
        <v>2437</v>
      </c>
      <c r="L145" t="s">
        <v>467</v>
      </c>
      <c r="M145" t="str">
        <f t="shared" si="5"/>
        <v>projectCollections</v>
      </c>
      <c r="N145" t="s">
        <v>460</v>
      </c>
      <c r="O145" t="s">
        <v>468</v>
      </c>
    </row>
    <row r="146" spans="1:15" x14ac:dyDescent="0.25">
      <c r="A146" t="s">
        <v>572</v>
      </c>
      <c r="B146" t="s">
        <v>567</v>
      </c>
      <c r="C146" t="s">
        <v>571</v>
      </c>
      <c r="D146" t="s">
        <v>43</v>
      </c>
      <c r="E146">
        <v>495</v>
      </c>
      <c r="F146" t="s">
        <v>44</v>
      </c>
      <c r="G146" t="s">
        <v>570</v>
      </c>
      <c r="H146" t="str">
        <f t="shared" si="4"/>
        <v>1004/2024</v>
      </c>
      <c r="I146" t="s">
        <v>2438</v>
      </c>
      <c r="L146" t="s">
        <v>467</v>
      </c>
      <c r="M146" t="str">
        <f t="shared" si="5"/>
        <v>projectCollections</v>
      </c>
      <c r="N146" t="s">
        <v>460</v>
      </c>
      <c r="O146" t="s">
        <v>468</v>
      </c>
    </row>
    <row r="147" spans="1:15" x14ac:dyDescent="0.25">
      <c r="A147" t="s">
        <v>474</v>
      </c>
      <c r="B147" t="s">
        <v>470</v>
      </c>
      <c r="C147" t="s">
        <v>473</v>
      </c>
      <c r="D147" t="s">
        <v>43</v>
      </c>
      <c r="E147">
        <v>599</v>
      </c>
      <c r="F147" t="s">
        <v>44</v>
      </c>
      <c r="G147" t="s">
        <v>472</v>
      </c>
      <c r="H147" t="str">
        <f t="shared" si="4"/>
        <v>0213/2025</v>
      </c>
      <c r="I147" t="s">
        <v>2439</v>
      </c>
      <c r="L147" t="s">
        <v>467</v>
      </c>
      <c r="M147" t="str">
        <f t="shared" si="5"/>
        <v>projectCollections</v>
      </c>
      <c r="N147" t="s">
        <v>460</v>
      </c>
      <c r="O147" t="s">
        <v>468</v>
      </c>
    </row>
    <row r="148" spans="1:15" x14ac:dyDescent="0.25">
      <c r="A148" t="s">
        <v>577</v>
      </c>
      <c r="B148" t="s">
        <v>573</v>
      </c>
      <c r="C148" t="s">
        <v>576</v>
      </c>
      <c r="D148" t="s">
        <v>43</v>
      </c>
      <c r="E148">
        <v>415</v>
      </c>
      <c r="F148" t="s">
        <v>44</v>
      </c>
      <c r="G148" t="s">
        <v>575</v>
      </c>
      <c r="H148" t="str">
        <f t="shared" si="4"/>
        <v>0710/2024</v>
      </c>
      <c r="I148" t="s">
        <v>2435</v>
      </c>
      <c r="L148" t="s">
        <v>467</v>
      </c>
      <c r="M148" t="str">
        <f t="shared" si="5"/>
        <v>projectCollections</v>
      </c>
      <c r="N148" t="s">
        <v>460</v>
      </c>
      <c r="O148" t="s">
        <v>468</v>
      </c>
    </row>
    <row r="149" spans="1:15" x14ac:dyDescent="0.25">
      <c r="A149" t="s">
        <v>666</v>
      </c>
      <c r="B149" t="s">
        <v>663</v>
      </c>
      <c r="C149" t="s">
        <v>665</v>
      </c>
      <c r="D149" t="s">
        <v>43</v>
      </c>
      <c r="E149">
        <v>68</v>
      </c>
      <c r="F149" t="s">
        <v>44</v>
      </c>
      <c r="G149" t="s">
        <v>664</v>
      </c>
      <c r="H149" t="str">
        <f t="shared" si="4"/>
        <v>0614/2023</v>
      </c>
      <c r="I149" t="s">
        <v>2437</v>
      </c>
      <c r="L149" t="s">
        <v>467</v>
      </c>
      <c r="M149" t="str">
        <f t="shared" si="5"/>
        <v>projectCollections</v>
      </c>
      <c r="N149" t="s">
        <v>460</v>
      </c>
      <c r="O149" t="s">
        <v>468</v>
      </c>
    </row>
    <row r="150" spans="1:15" x14ac:dyDescent="0.25">
      <c r="A150" t="s">
        <v>584</v>
      </c>
      <c r="B150" t="s">
        <v>578</v>
      </c>
      <c r="C150" t="s">
        <v>583</v>
      </c>
      <c r="D150" t="s">
        <v>43</v>
      </c>
      <c r="E150">
        <v>366</v>
      </c>
      <c r="F150" t="s">
        <v>44</v>
      </c>
      <c r="G150" t="s">
        <v>582</v>
      </c>
      <c r="H150" t="str">
        <f t="shared" si="4"/>
        <v>0527/2024</v>
      </c>
      <c r="I150" t="s">
        <v>2440</v>
      </c>
      <c r="L150" t="s">
        <v>467</v>
      </c>
      <c r="M150" t="str">
        <f t="shared" si="5"/>
        <v>projectCollections</v>
      </c>
      <c r="N150" t="s">
        <v>460</v>
      </c>
      <c r="O150" t="s">
        <v>468</v>
      </c>
    </row>
    <row r="151" spans="1:15" x14ac:dyDescent="0.25">
      <c r="A151" t="s">
        <v>672</v>
      </c>
      <c r="B151" t="s">
        <v>667</v>
      </c>
      <c r="C151" t="s">
        <v>671</v>
      </c>
      <c r="D151" t="s">
        <v>43</v>
      </c>
      <c r="E151">
        <v>252</v>
      </c>
      <c r="F151" t="s">
        <v>44</v>
      </c>
      <c r="G151" t="s">
        <v>670</v>
      </c>
      <c r="H151" t="str">
        <f t="shared" si="4"/>
        <v>0829/2023</v>
      </c>
      <c r="I151" t="s">
        <v>2441</v>
      </c>
      <c r="K151" t="s">
        <v>585</v>
      </c>
      <c r="L151" t="s">
        <v>467</v>
      </c>
      <c r="M151" t="str">
        <f t="shared" si="5"/>
        <v>projectCollections</v>
      </c>
      <c r="N151" t="s">
        <v>460</v>
      </c>
      <c r="O151" t="s">
        <v>468</v>
      </c>
    </row>
    <row r="152" spans="1:15" x14ac:dyDescent="0.25">
      <c r="A152" t="s">
        <v>503</v>
      </c>
      <c r="B152" t="s">
        <v>497</v>
      </c>
      <c r="C152" t="s">
        <v>502</v>
      </c>
      <c r="D152" t="s">
        <v>43</v>
      </c>
      <c r="E152">
        <v>586</v>
      </c>
      <c r="F152" t="s">
        <v>44</v>
      </c>
      <c r="G152" t="s">
        <v>501</v>
      </c>
      <c r="H152" t="str">
        <f t="shared" si="4"/>
        <v>0109/2025</v>
      </c>
      <c r="I152" t="s">
        <v>2442</v>
      </c>
      <c r="L152" t="s">
        <v>467</v>
      </c>
      <c r="M152" t="str">
        <f t="shared" si="5"/>
        <v>projectCollections</v>
      </c>
      <c r="N152" t="s">
        <v>460</v>
      </c>
      <c r="O152" t="s">
        <v>468</v>
      </c>
    </row>
    <row r="153" spans="1:15" x14ac:dyDescent="0.25">
      <c r="A153" t="s">
        <v>591</v>
      </c>
      <c r="B153" t="s">
        <v>586</v>
      </c>
      <c r="C153" t="s">
        <v>590</v>
      </c>
      <c r="D153" t="s">
        <v>43</v>
      </c>
      <c r="E153">
        <v>298</v>
      </c>
      <c r="F153" t="s">
        <v>44</v>
      </c>
      <c r="G153" t="s">
        <v>589</v>
      </c>
      <c r="H153" t="str">
        <f t="shared" si="4"/>
        <v>0206/2024</v>
      </c>
      <c r="I153" t="s">
        <v>2443</v>
      </c>
      <c r="L153" t="s">
        <v>467</v>
      </c>
      <c r="M153" t="str">
        <f t="shared" si="5"/>
        <v>projectCollections</v>
      </c>
      <c r="N153" t="s">
        <v>460</v>
      </c>
      <c r="O153" t="s">
        <v>468</v>
      </c>
    </row>
    <row r="154" spans="1:15" x14ac:dyDescent="0.25">
      <c r="A154" t="s">
        <v>510</v>
      </c>
      <c r="B154" t="s">
        <v>504</v>
      </c>
      <c r="C154" t="s">
        <v>509</v>
      </c>
      <c r="D154" t="s">
        <v>43</v>
      </c>
      <c r="E154">
        <v>588</v>
      </c>
      <c r="F154" t="s">
        <v>44</v>
      </c>
      <c r="G154" t="s">
        <v>508</v>
      </c>
      <c r="H154" t="str">
        <f t="shared" si="4"/>
        <v>0116/2025</v>
      </c>
      <c r="I154" t="s">
        <v>2444</v>
      </c>
      <c r="L154" t="s">
        <v>467</v>
      </c>
      <c r="M154" t="str">
        <f t="shared" si="5"/>
        <v>projectCollections</v>
      </c>
      <c r="N154" t="s">
        <v>460</v>
      </c>
      <c r="O154" t="s">
        <v>468</v>
      </c>
    </row>
    <row r="155" spans="1:15" x14ac:dyDescent="0.25">
      <c r="A155" t="s">
        <v>597</v>
      </c>
      <c r="B155" t="s">
        <v>592</v>
      </c>
      <c r="C155" t="s">
        <v>596</v>
      </c>
      <c r="D155" t="s">
        <v>43</v>
      </c>
      <c r="E155">
        <v>299</v>
      </c>
      <c r="F155" t="s">
        <v>44</v>
      </c>
      <c r="G155" t="s">
        <v>595</v>
      </c>
      <c r="H155" t="str">
        <f t="shared" si="4"/>
        <v>0222/2024</v>
      </c>
      <c r="I155" t="s">
        <v>2445</v>
      </c>
      <c r="L155" t="s">
        <v>467</v>
      </c>
      <c r="M155" t="str">
        <f t="shared" si="5"/>
        <v>projectCollections</v>
      </c>
      <c r="N155" t="s">
        <v>460</v>
      </c>
      <c r="O155" t="s">
        <v>468</v>
      </c>
    </row>
    <row r="156" spans="1:15" x14ac:dyDescent="0.25">
      <c r="A156" t="s">
        <v>603</v>
      </c>
      <c r="B156" t="s">
        <v>598</v>
      </c>
      <c r="C156" t="s">
        <v>602</v>
      </c>
      <c r="D156" t="s">
        <v>43</v>
      </c>
      <c r="E156">
        <v>481</v>
      </c>
      <c r="F156" t="s">
        <v>44</v>
      </c>
      <c r="G156" t="s">
        <v>601</v>
      </c>
      <c r="H156" t="str">
        <f t="shared" si="4"/>
        <v>0919/2024</v>
      </c>
      <c r="I156" t="s">
        <v>2446</v>
      </c>
      <c r="L156" t="s">
        <v>467</v>
      </c>
      <c r="M156" t="str">
        <f t="shared" si="5"/>
        <v>projectCollections</v>
      </c>
      <c r="N156" t="s">
        <v>460</v>
      </c>
      <c r="O156" t="s">
        <v>468</v>
      </c>
    </row>
    <row r="157" spans="1:15" x14ac:dyDescent="0.25">
      <c r="A157" t="s">
        <v>516</v>
      </c>
      <c r="B157" t="s">
        <v>424</v>
      </c>
      <c r="C157" t="s">
        <v>515</v>
      </c>
      <c r="D157" t="s">
        <v>43</v>
      </c>
      <c r="E157">
        <v>604</v>
      </c>
      <c r="F157" t="s">
        <v>44</v>
      </c>
      <c r="G157" t="s">
        <v>514</v>
      </c>
      <c r="H157" t="str">
        <f t="shared" si="4"/>
        <v>0311/2025</v>
      </c>
      <c r="I157" t="s">
        <v>2447</v>
      </c>
      <c r="K157" t="s">
        <v>604</v>
      </c>
      <c r="L157" t="s">
        <v>467</v>
      </c>
      <c r="M157" t="str">
        <f t="shared" si="5"/>
        <v>projectCollections</v>
      </c>
      <c r="N157" t="s">
        <v>460</v>
      </c>
      <c r="O157" t="s">
        <v>468</v>
      </c>
    </row>
    <row r="158" spans="1:15" x14ac:dyDescent="0.25">
      <c r="A158" t="s">
        <v>609</v>
      </c>
      <c r="B158" t="s">
        <v>605</v>
      </c>
      <c r="C158" t="s">
        <v>608</v>
      </c>
      <c r="D158" t="s">
        <v>43</v>
      </c>
      <c r="E158">
        <v>431</v>
      </c>
      <c r="F158" t="s">
        <v>44</v>
      </c>
      <c r="G158" t="s">
        <v>607</v>
      </c>
      <c r="H158" t="str">
        <f t="shared" si="4"/>
        <v>0806/2024</v>
      </c>
      <c r="I158" t="s">
        <v>2448</v>
      </c>
      <c r="L158" t="s">
        <v>467</v>
      </c>
      <c r="M158" t="str">
        <f t="shared" si="5"/>
        <v>projectCollections</v>
      </c>
      <c r="N158" t="s">
        <v>460</v>
      </c>
      <c r="O158" t="s">
        <v>468</v>
      </c>
    </row>
    <row r="159" spans="1:15" x14ac:dyDescent="0.25">
      <c r="A159" t="s">
        <v>615</v>
      </c>
      <c r="B159" t="s">
        <v>610</v>
      </c>
      <c r="C159" t="s">
        <v>614</v>
      </c>
      <c r="D159" t="s">
        <v>43</v>
      </c>
      <c r="E159">
        <v>565</v>
      </c>
      <c r="F159" t="s">
        <v>44</v>
      </c>
      <c r="G159" t="s">
        <v>613</v>
      </c>
      <c r="H159" t="str">
        <f t="shared" si="4"/>
        <v>1211/2024</v>
      </c>
      <c r="I159" t="s">
        <v>2449</v>
      </c>
      <c r="L159" t="s">
        <v>467</v>
      </c>
      <c r="M159" t="str">
        <f t="shared" si="5"/>
        <v>projectCollections</v>
      </c>
      <c r="N159" t="s">
        <v>460</v>
      </c>
      <c r="O159" t="s">
        <v>468</v>
      </c>
    </row>
    <row r="160" spans="1:15" x14ac:dyDescent="0.25">
      <c r="A160" t="s">
        <v>622</v>
      </c>
      <c r="B160" t="s">
        <v>616</v>
      </c>
      <c r="C160" t="s">
        <v>621</v>
      </c>
      <c r="D160" t="s">
        <v>43</v>
      </c>
      <c r="E160">
        <v>513</v>
      </c>
      <c r="F160" t="s">
        <v>44</v>
      </c>
      <c r="G160" t="s">
        <v>620</v>
      </c>
      <c r="H160" t="str">
        <f t="shared" si="4"/>
        <v>1016/2024</v>
      </c>
      <c r="I160" t="s">
        <v>2450</v>
      </c>
      <c r="L160" t="s">
        <v>467</v>
      </c>
      <c r="M160" t="str">
        <f t="shared" si="5"/>
        <v>projectCollections</v>
      </c>
      <c r="N160" t="s">
        <v>460</v>
      </c>
      <c r="O160" t="s">
        <v>468</v>
      </c>
    </row>
    <row r="161" spans="1:15" x14ac:dyDescent="0.25">
      <c r="A161" t="s">
        <v>521</v>
      </c>
      <c r="B161" t="s">
        <v>517</v>
      </c>
      <c r="C161" t="s">
        <v>520</v>
      </c>
      <c r="D161" t="s">
        <v>43</v>
      </c>
      <c r="E161">
        <v>576</v>
      </c>
      <c r="F161" t="s">
        <v>44</v>
      </c>
      <c r="G161" t="s">
        <v>519</v>
      </c>
      <c r="H161" t="str">
        <f t="shared" si="4"/>
        <v>0109/2025</v>
      </c>
      <c r="I161" t="s">
        <v>2442</v>
      </c>
      <c r="L161" t="s">
        <v>467</v>
      </c>
      <c r="M161" t="str">
        <f t="shared" si="5"/>
        <v>projectCollections</v>
      </c>
      <c r="N161" t="s">
        <v>460</v>
      </c>
      <c r="O161" t="s">
        <v>468</v>
      </c>
    </row>
    <row r="162" spans="1:15" x14ac:dyDescent="0.25">
      <c r="A162" t="s">
        <v>627</v>
      </c>
      <c r="B162" t="s">
        <v>623</v>
      </c>
      <c r="C162" t="s">
        <v>626</v>
      </c>
      <c r="D162" t="s">
        <v>43</v>
      </c>
      <c r="E162">
        <v>323</v>
      </c>
      <c r="F162" t="s">
        <v>44</v>
      </c>
      <c r="G162" t="s">
        <v>625</v>
      </c>
      <c r="H162" t="str">
        <f t="shared" si="4"/>
        <v>0227/2024</v>
      </c>
      <c r="I162" t="s">
        <v>2451</v>
      </c>
      <c r="L162" t="s">
        <v>467</v>
      </c>
      <c r="M162" t="str">
        <f t="shared" si="5"/>
        <v>projectCollections</v>
      </c>
      <c r="N162" t="s">
        <v>460</v>
      </c>
      <c r="O162" t="s">
        <v>468</v>
      </c>
    </row>
    <row r="163" spans="1:15" x14ac:dyDescent="0.25">
      <c r="A163" t="s">
        <v>633</v>
      </c>
      <c r="B163" t="s">
        <v>628</v>
      </c>
      <c r="C163" t="s">
        <v>632</v>
      </c>
      <c r="D163" t="s">
        <v>43</v>
      </c>
      <c r="E163">
        <v>484</v>
      </c>
      <c r="F163" t="s">
        <v>44</v>
      </c>
      <c r="G163" t="s">
        <v>631</v>
      </c>
      <c r="H163" t="str">
        <f t="shared" si="4"/>
        <v>0925/2024</v>
      </c>
      <c r="I163" t="s">
        <v>2452</v>
      </c>
      <c r="L163" t="s">
        <v>467</v>
      </c>
      <c r="M163" t="str">
        <f t="shared" si="5"/>
        <v>projectCollections</v>
      </c>
      <c r="N163" t="s">
        <v>460</v>
      </c>
      <c r="O163" t="s">
        <v>468</v>
      </c>
    </row>
    <row r="164" spans="1:15" x14ac:dyDescent="0.25">
      <c r="A164" t="s">
        <v>528</v>
      </c>
      <c r="B164" t="s">
        <v>522</v>
      </c>
      <c r="C164" t="s">
        <v>527</v>
      </c>
      <c r="D164" t="s">
        <v>43</v>
      </c>
      <c r="E164">
        <v>589</v>
      </c>
      <c r="F164" t="s">
        <v>44</v>
      </c>
      <c r="G164" t="s">
        <v>526</v>
      </c>
      <c r="H164" t="str">
        <f t="shared" si="4"/>
        <v>0121/2025</v>
      </c>
      <c r="I164" t="s">
        <v>2453</v>
      </c>
      <c r="L164" t="s">
        <v>467</v>
      </c>
      <c r="M164" t="str">
        <f t="shared" si="5"/>
        <v>projectCollections</v>
      </c>
      <c r="N164" t="s">
        <v>460</v>
      </c>
      <c r="O164" t="s">
        <v>468</v>
      </c>
    </row>
    <row r="165" spans="1:15" x14ac:dyDescent="0.25">
      <c r="A165" t="s">
        <v>639</v>
      </c>
      <c r="B165" t="s">
        <v>634</v>
      </c>
      <c r="C165" t="s">
        <v>638</v>
      </c>
      <c r="D165" t="s">
        <v>43</v>
      </c>
      <c r="E165">
        <v>349</v>
      </c>
      <c r="F165" t="s">
        <v>44</v>
      </c>
      <c r="G165" t="s">
        <v>637</v>
      </c>
      <c r="H165" t="str">
        <f t="shared" si="4"/>
        <v>0402/2024</v>
      </c>
      <c r="I165" t="s">
        <v>2454</v>
      </c>
      <c r="L165" t="s">
        <v>467</v>
      </c>
      <c r="M165" t="str">
        <f t="shared" si="5"/>
        <v>projectCollections</v>
      </c>
      <c r="N165" t="s">
        <v>460</v>
      </c>
      <c r="O165" t="s">
        <v>468</v>
      </c>
    </row>
    <row r="166" spans="1:15" x14ac:dyDescent="0.25">
      <c r="A166" t="s">
        <v>645</v>
      </c>
      <c r="B166" t="s">
        <v>640</v>
      </c>
      <c r="C166" t="s">
        <v>644</v>
      </c>
      <c r="D166" t="s">
        <v>43</v>
      </c>
      <c r="E166">
        <v>541</v>
      </c>
      <c r="F166" t="s">
        <v>44</v>
      </c>
      <c r="G166" t="s">
        <v>643</v>
      </c>
      <c r="H166" t="str">
        <f t="shared" si="4"/>
        <v>1029/2024</v>
      </c>
      <c r="I166" t="s">
        <v>2455</v>
      </c>
      <c r="L166" t="s">
        <v>467</v>
      </c>
      <c r="M166" t="str">
        <f t="shared" si="5"/>
        <v>projectCollections</v>
      </c>
      <c r="N166" t="s">
        <v>460</v>
      </c>
      <c r="O166" t="s">
        <v>468</v>
      </c>
    </row>
    <row r="167" spans="1:15" x14ac:dyDescent="0.25">
      <c r="A167" t="s">
        <v>651</v>
      </c>
      <c r="B167" t="s">
        <v>646</v>
      </c>
      <c r="C167" t="s">
        <v>650</v>
      </c>
      <c r="D167" t="s">
        <v>43</v>
      </c>
      <c r="E167">
        <v>500</v>
      </c>
      <c r="F167" t="s">
        <v>44</v>
      </c>
      <c r="G167" t="s">
        <v>649</v>
      </c>
      <c r="H167" t="str">
        <f t="shared" si="4"/>
        <v>1010/2024</v>
      </c>
      <c r="I167" t="s">
        <v>2456</v>
      </c>
      <c r="L167" t="s">
        <v>467</v>
      </c>
      <c r="M167" t="str">
        <f t="shared" si="5"/>
        <v>projectCollections</v>
      </c>
      <c r="N167" t="s">
        <v>460</v>
      </c>
      <c r="O167" t="s">
        <v>468</v>
      </c>
    </row>
    <row r="168" spans="1:15" x14ac:dyDescent="0.25">
      <c r="A168" t="s">
        <v>656</v>
      </c>
      <c r="B168" t="s">
        <v>652</v>
      </c>
      <c r="C168" t="s">
        <v>655</v>
      </c>
      <c r="D168" t="s">
        <v>43</v>
      </c>
      <c r="E168">
        <v>483</v>
      </c>
      <c r="F168" t="s">
        <v>44</v>
      </c>
      <c r="G168" t="s">
        <v>654</v>
      </c>
      <c r="H168" t="str">
        <f t="shared" si="4"/>
        <v>0923/2024</v>
      </c>
      <c r="I168" t="s">
        <v>2457</v>
      </c>
      <c r="L168" t="s">
        <v>467</v>
      </c>
      <c r="M168" t="str">
        <f t="shared" si="5"/>
        <v>projectCollections</v>
      </c>
      <c r="N168" t="s">
        <v>460</v>
      </c>
      <c r="O168" t="s">
        <v>468</v>
      </c>
    </row>
    <row r="169" spans="1:15" x14ac:dyDescent="0.25">
      <c r="A169" t="s">
        <v>485</v>
      </c>
      <c r="B169" t="s">
        <v>481</v>
      </c>
      <c r="C169" t="s">
        <v>484</v>
      </c>
      <c r="D169" t="s">
        <v>43</v>
      </c>
      <c r="E169">
        <v>562</v>
      </c>
      <c r="F169" t="s">
        <v>44</v>
      </c>
      <c r="G169" t="s">
        <v>483</v>
      </c>
      <c r="H169" t="str">
        <f t="shared" si="4"/>
        <v>1111/2024</v>
      </c>
      <c r="I169" t="s">
        <v>2458</v>
      </c>
      <c r="L169" t="s">
        <v>467</v>
      </c>
      <c r="M169" t="str">
        <f t="shared" si="5"/>
        <v>projectCollections</v>
      </c>
      <c r="N169" t="s">
        <v>460</v>
      </c>
      <c r="O169" t="s">
        <v>468</v>
      </c>
    </row>
    <row r="170" spans="1:15" x14ac:dyDescent="0.25">
      <c r="A170" t="s">
        <v>662</v>
      </c>
      <c r="B170" t="s">
        <v>657</v>
      </c>
      <c r="C170" t="s">
        <v>661</v>
      </c>
      <c r="D170" t="s">
        <v>43</v>
      </c>
      <c r="E170">
        <v>346</v>
      </c>
      <c r="F170" t="s">
        <v>44</v>
      </c>
      <c r="G170" t="s">
        <v>660</v>
      </c>
      <c r="H170" t="str">
        <f t="shared" si="4"/>
        <v>0321/2024</v>
      </c>
      <c r="I170" t="s">
        <v>2459</v>
      </c>
      <c r="K170" t="s">
        <v>486</v>
      </c>
      <c r="L170" t="s">
        <v>467</v>
      </c>
      <c r="M170" t="str">
        <f t="shared" si="5"/>
        <v>projectCollections</v>
      </c>
      <c r="N170" t="s">
        <v>460</v>
      </c>
      <c r="O170" t="s">
        <v>468</v>
      </c>
    </row>
    <row r="171" spans="1:15" x14ac:dyDescent="0.25">
      <c r="A171" t="s">
        <v>496</v>
      </c>
      <c r="B171" t="s">
        <v>492</v>
      </c>
      <c r="C171" t="s">
        <v>495</v>
      </c>
      <c r="D171" t="s">
        <v>43</v>
      </c>
      <c r="E171">
        <v>204</v>
      </c>
      <c r="F171" t="s">
        <v>44</v>
      </c>
      <c r="G171" t="s">
        <v>494</v>
      </c>
      <c r="H171" t="str">
        <f t="shared" si="4"/>
        <v>0719/2023</v>
      </c>
      <c r="I171" t="s">
        <v>2460</v>
      </c>
      <c r="L171" t="s">
        <v>467</v>
      </c>
      <c r="M171" t="str">
        <f t="shared" si="5"/>
        <v>projectCollections</v>
      </c>
      <c r="N171" t="s">
        <v>460</v>
      </c>
      <c r="O171" t="s">
        <v>468</v>
      </c>
    </row>
    <row r="172" spans="1:15" x14ac:dyDescent="0.25">
      <c r="A172" t="s">
        <v>677</v>
      </c>
      <c r="B172" t="s">
        <v>673</v>
      </c>
      <c r="C172" t="s">
        <v>676</v>
      </c>
      <c r="D172" t="s">
        <v>43</v>
      </c>
      <c r="E172">
        <v>256</v>
      </c>
      <c r="F172" t="s">
        <v>44</v>
      </c>
      <c r="G172" t="s">
        <v>675</v>
      </c>
      <c r="H172" t="str">
        <f t="shared" si="4"/>
        <v>0829/2023</v>
      </c>
      <c r="I172" t="s">
        <v>2441</v>
      </c>
      <c r="L172" t="s">
        <v>467</v>
      </c>
      <c r="M172" t="str">
        <f t="shared" si="5"/>
        <v>projectCollections</v>
      </c>
      <c r="N172" t="s">
        <v>460</v>
      </c>
      <c r="O172" t="s">
        <v>468</v>
      </c>
    </row>
    <row r="173" spans="1:15" x14ac:dyDescent="0.25">
      <c r="A173" t="s">
        <v>814</v>
      </c>
      <c r="B173" t="s">
        <v>807</v>
      </c>
      <c r="C173" t="s">
        <v>811</v>
      </c>
      <c r="D173" t="s">
        <v>43</v>
      </c>
      <c r="E173">
        <v>18</v>
      </c>
      <c r="F173" t="s">
        <v>44</v>
      </c>
      <c r="G173" t="s">
        <v>810</v>
      </c>
      <c r="H173" t="str">
        <f t="shared" si="4"/>
        <v>1001/2024</v>
      </c>
      <c r="I173" t="s">
        <v>2461</v>
      </c>
      <c r="K173" t="s">
        <v>678</v>
      </c>
      <c r="L173" t="s">
        <v>812</v>
      </c>
      <c r="M173" t="str">
        <f t="shared" si="5"/>
        <v>projectCollections</v>
      </c>
      <c r="N173" t="s">
        <v>806</v>
      </c>
      <c r="O173" t="s">
        <v>813</v>
      </c>
    </row>
    <row r="174" spans="1:15" x14ac:dyDescent="0.25">
      <c r="A174" t="s">
        <v>1803</v>
      </c>
      <c r="B174" t="s">
        <v>1800</v>
      </c>
      <c r="C174" t="s">
        <v>1802</v>
      </c>
      <c r="D174" t="s">
        <v>43</v>
      </c>
      <c r="E174">
        <v>307953</v>
      </c>
      <c r="F174" t="s">
        <v>44</v>
      </c>
      <c r="G174" t="s">
        <v>1801</v>
      </c>
      <c r="H174" t="str">
        <f t="shared" si="4"/>
        <v>1025/2019</v>
      </c>
      <c r="I174" t="s">
        <v>2400</v>
      </c>
      <c r="L174" t="s">
        <v>1797</v>
      </c>
      <c r="M174" t="str">
        <f t="shared" si="5"/>
        <v>projectCollections</v>
      </c>
      <c r="N174" t="s">
        <v>1792</v>
      </c>
      <c r="O174" t="s">
        <v>1798</v>
      </c>
    </row>
    <row r="175" spans="1:15" x14ac:dyDescent="0.25">
      <c r="A175" t="s">
        <v>1879</v>
      </c>
      <c r="B175" t="s">
        <v>235</v>
      </c>
      <c r="C175" t="s">
        <v>1878</v>
      </c>
      <c r="D175" t="s">
        <v>43</v>
      </c>
      <c r="E175">
        <v>307996</v>
      </c>
      <c r="F175" t="s">
        <v>44</v>
      </c>
      <c r="G175" t="s">
        <v>1877</v>
      </c>
      <c r="H175" t="str">
        <f t="shared" si="4"/>
        <v>0127/2021</v>
      </c>
      <c r="I175" t="s">
        <v>2462</v>
      </c>
      <c r="L175" t="s">
        <v>1797</v>
      </c>
      <c r="M175" t="str">
        <f t="shared" si="5"/>
        <v>projectCollections</v>
      </c>
      <c r="N175" t="s">
        <v>1792</v>
      </c>
      <c r="O175" t="s">
        <v>1798</v>
      </c>
    </row>
    <row r="176" spans="1:15" x14ac:dyDescent="0.25">
      <c r="A176" t="s">
        <v>1807</v>
      </c>
      <c r="B176" t="s">
        <v>1804</v>
      </c>
      <c r="C176" t="s">
        <v>1806</v>
      </c>
      <c r="D176" t="s">
        <v>43</v>
      </c>
      <c r="E176">
        <v>307955</v>
      </c>
      <c r="F176" t="s">
        <v>44</v>
      </c>
      <c r="G176" t="s">
        <v>1805</v>
      </c>
      <c r="H176" t="str">
        <f t="shared" si="4"/>
        <v>1025/2019</v>
      </c>
      <c r="I176" t="s">
        <v>2400</v>
      </c>
      <c r="K176" t="s">
        <v>1880</v>
      </c>
      <c r="L176" t="s">
        <v>1797</v>
      </c>
      <c r="M176" t="str">
        <f t="shared" si="5"/>
        <v>projectCollections</v>
      </c>
      <c r="N176" t="s">
        <v>1792</v>
      </c>
      <c r="O176" t="s">
        <v>1798</v>
      </c>
    </row>
    <row r="177" spans="1:15" x14ac:dyDescent="0.25">
      <c r="A177" t="s">
        <v>1812</v>
      </c>
      <c r="B177" t="s">
        <v>1809</v>
      </c>
      <c r="C177" t="s">
        <v>1811</v>
      </c>
      <c r="D177" t="s">
        <v>43</v>
      </c>
      <c r="E177">
        <v>307956</v>
      </c>
      <c r="F177" t="s">
        <v>44</v>
      </c>
      <c r="G177" t="s">
        <v>1810</v>
      </c>
      <c r="H177" t="str">
        <f t="shared" si="4"/>
        <v>1025/2019</v>
      </c>
      <c r="I177" t="s">
        <v>2400</v>
      </c>
      <c r="K177" t="s">
        <v>1808</v>
      </c>
      <c r="L177" t="s">
        <v>1797</v>
      </c>
      <c r="M177" t="str">
        <f t="shared" si="5"/>
        <v>projectCollections</v>
      </c>
      <c r="N177" t="s">
        <v>1792</v>
      </c>
      <c r="O177" t="s">
        <v>1798</v>
      </c>
    </row>
    <row r="178" spans="1:15" x14ac:dyDescent="0.25">
      <c r="A178" t="s">
        <v>1817</v>
      </c>
      <c r="B178" t="s">
        <v>1814</v>
      </c>
      <c r="C178" t="s">
        <v>1816</v>
      </c>
      <c r="D178" t="s">
        <v>43</v>
      </c>
      <c r="E178">
        <v>307957</v>
      </c>
      <c r="F178" t="s">
        <v>44</v>
      </c>
      <c r="G178" t="s">
        <v>1815</v>
      </c>
      <c r="H178" t="str">
        <f t="shared" si="4"/>
        <v>1025/2019</v>
      </c>
      <c r="I178" t="s">
        <v>2400</v>
      </c>
      <c r="K178" t="s">
        <v>1813</v>
      </c>
      <c r="L178" t="s">
        <v>1797</v>
      </c>
      <c r="M178" t="str">
        <f t="shared" si="5"/>
        <v>projectCollections</v>
      </c>
      <c r="N178" t="s">
        <v>1792</v>
      </c>
      <c r="O178" t="s">
        <v>1798</v>
      </c>
    </row>
    <row r="179" spans="1:15" x14ac:dyDescent="0.25">
      <c r="A179" t="s">
        <v>1821</v>
      </c>
      <c r="B179" t="s">
        <v>1818</v>
      </c>
      <c r="C179" t="s">
        <v>1820</v>
      </c>
      <c r="D179" t="s">
        <v>43</v>
      </c>
      <c r="E179">
        <v>307958</v>
      </c>
      <c r="F179" t="s">
        <v>44</v>
      </c>
      <c r="G179" t="s">
        <v>1819</v>
      </c>
      <c r="H179" t="str">
        <f t="shared" si="4"/>
        <v>1025/2019</v>
      </c>
      <c r="I179" t="s">
        <v>2400</v>
      </c>
      <c r="L179" t="s">
        <v>1797</v>
      </c>
      <c r="M179" t="str">
        <f t="shared" si="5"/>
        <v>projectCollections</v>
      </c>
      <c r="N179" t="s">
        <v>1792</v>
      </c>
      <c r="O179" t="s">
        <v>1798</v>
      </c>
    </row>
    <row r="180" spans="1:15" x14ac:dyDescent="0.25">
      <c r="A180" t="s">
        <v>1874</v>
      </c>
      <c r="B180" t="s">
        <v>1871</v>
      </c>
      <c r="C180" t="s">
        <v>1873</v>
      </c>
      <c r="D180" t="s">
        <v>43</v>
      </c>
      <c r="E180">
        <v>307959</v>
      </c>
      <c r="F180" t="s">
        <v>44</v>
      </c>
      <c r="G180" t="s">
        <v>1872</v>
      </c>
      <c r="H180" t="str">
        <f t="shared" si="4"/>
        <v>1025/2019</v>
      </c>
      <c r="I180" t="s">
        <v>2400</v>
      </c>
      <c r="K180" t="s">
        <v>1822</v>
      </c>
      <c r="L180" t="s">
        <v>1797</v>
      </c>
      <c r="M180" t="str">
        <f t="shared" si="5"/>
        <v>projectCollections</v>
      </c>
      <c r="N180" t="s">
        <v>1792</v>
      </c>
      <c r="O180" t="s">
        <v>1798</v>
      </c>
    </row>
    <row r="181" spans="1:15" x14ac:dyDescent="0.25">
      <c r="A181" t="s">
        <v>1826</v>
      </c>
      <c r="B181" t="s">
        <v>1823</v>
      </c>
      <c r="C181" t="s">
        <v>1825</v>
      </c>
      <c r="D181" t="s">
        <v>43</v>
      </c>
      <c r="E181">
        <v>307960</v>
      </c>
      <c r="F181" t="s">
        <v>44</v>
      </c>
      <c r="G181" t="s">
        <v>1824</v>
      </c>
      <c r="H181" t="str">
        <f t="shared" si="4"/>
        <v>1025/2019</v>
      </c>
      <c r="I181" t="s">
        <v>2400</v>
      </c>
      <c r="K181" t="s">
        <v>1875</v>
      </c>
      <c r="L181" t="s">
        <v>1797</v>
      </c>
      <c r="M181" t="str">
        <f t="shared" si="5"/>
        <v>projectCollections</v>
      </c>
      <c r="N181" t="s">
        <v>1792</v>
      </c>
      <c r="O181" t="s">
        <v>1798</v>
      </c>
    </row>
    <row r="182" spans="1:15" x14ac:dyDescent="0.25">
      <c r="A182" t="s">
        <v>1799</v>
      </c>
      <c r="B182" t="s">
        <v>1793</v>
      </c>
      <c r="C182" t="s">
        <v>1796</v>
      </c>
      <c r="D182" t="s">
        <v>43</v>
      </c>
      <c r="E182">
        <v>308010</v>
      </c>
      <c r="F182" t="s">
        <v>44</v>
      </c>
      <c r="G182" t="s">
        <v>1795</v>
      </c>
      <c r="H182" t="str">
        <f t="shared" si="4"/>
        <v>0922/2023</v>
      </c>
      <c r="I182" t="s">
        <v>2463</v>
      </c>
      <c r="L182" t="s">
        <v>1797</v>
      </c>
      <c r="M182" t="str">
        <f t="shared" si="5"/>
        <v>projectCollections</v>
      </c>
      <c r="N182" t="s">
        <v>1792</v>
      </c>
      <c r="O182" t="s">
        <v>1798</v>
      </c>
    </row>
    <row r="183" spans="1:15" x14ac:dyDescent="0.25">
      <c r="A183" t="s">
        <v>1830</v>
      </c>
      <c r="B183" t="s">
        <v>1827</v>
      </c>
      <c r="C183" t="s">
        <v>1829</v>
      </c>
      <c r="D183" t="s">
        <v>43</v>
      </c>
      <c r="E183">
        <v>307961</v>
      </c>
      <c r="F183" t="s">
        <v>44</v>
      </c>
      <c r="G183" t="s">
        <v>1828</v>
      </c>
      <c r="H183" t="str">
        <f t="shared" si="4"/>
        <v>1025/2019</v>
      </c>
      <c r="I183" t="s">
        <v>2400</v>
      </c>
      <c r="L183" t="s">
        <v>1797</v>
      </c>
      <c r="M183" t="str">
        <f t="shared" si="5"/>
        <v>projectCollections</v>
      </c>
      <c r="N183" t="s">
        <v>1792</v>
      </c>
      <c r="O183" t="s">
        <v>1798</v>
      </c>
    </row>
    <row r="184" spans="1:15" x14ac:dyDescent="0.25">
      <c r="A184" t="s">
        <v>1834</v>
      </c>
      <c r="B184" t="s">
        <v>1831</v>
      </c>
      <c r="C184" t="s">
        <v>1833</v>
      </c>
      <c r="D184" t="s">
        <v>43</v>
      </c>
      <c r="E184">
        <v>307962</v>
      </c>
      <c r="F184" t="s">
        <v>44</v>
      </c>
      <c r="G184" t="s">
        <v>1832</v>
      </c>
      <c r="H184" t="str">
        <f t="shared" si="4"/>
        <v>1025/2019</v>
      </c>
      <c r="I184" t="s">
        <v>2400</v>
      </c>
      <c r="L184" t="s">
        <v>1797</v>
      </c>
      <c r="M184" t="str">
        <f t="shared" si="5"/>
        <v>projectCollections</v>
      </c>
      <c r="N184" t="s">
        <v>1792</v>
      </c>
      <c r="O184" t="s">
        <v>1798</v>
      </c>
    </row>
    <row r="185" spans="1:15" x14ac:dyDescent="0.25">
      <c r="A185" t="s">
        <v>1839</v>
      </c>
      <c r="B185" t="s">
        <v>1836</v>
      </c>
      <c r="C185" t="s">
        <v>1838</v>
      </c>
      <c r="D185" t="s">
        <v>43</v>
      </c>
      <c r="E185">
        <v>307963</v>
      </c>
      <c r="F185" t="s">
        <v>44</v>
      </c>
      <c r="G185" t="s">
        <v>1837</v>
      </c>
      <c r="H185" t="str">
        <f t="shared" si="4"/>
        <v>1025/2019</v>
      </c>
      <c r="I185" t="s">
        <v>2400</v>
      </c>
      <c r="K185" t="s">
        <v>1835</v>
      </c>
      <c r="L185" t="s">
        <v>1797</v>
      </c>
      <c r="M185" t="str">
        <f t="shared" si="5"/>
        <v>projectCollections</v>
      </c>
      <c r="N185" t="s">
        <v>1792</v>
      </c>
      <c r="O185" t="s">
        <v>1798</v>
      </c>
    </row>
    <row r="186" spans="1:15" x14ac:dyDescent="0.25">
      <c r="A186" t="s">
        <v>1843</v>
      </c>
      <c r="B186" t="s">
        <v>1840</v>
      </c>
      <c r="C186" t="s">
        <v>1842</v>
      </c>
      <c r="D186" t="s">
        <v>43</v>
      </c>
      <c r="E186">
        <v>307964</v>
      </c>
      <c r="F186" t="s">
        <v>44</v>
      </c>
      <c r="G186" t="s">
        <v>1841</v>
      </c>
      <c r="H186" t="str">
        <f t="shared" si="4"/>
        <v>1025/2019</v>
      </c>
      <c r="I186" t="s">
        <v>2400</v>
      </c>
      <c r="L186" t="s">
        <v>1797</v>
      </c>
      <c r="M186" t="str">
        <f t="shared" si="5"/>
        <v>projectCollections</v>
      </c>
      <c r="N186" t="s">
        <v>1792</v>
      </c>
      <c r="O186" t="s">
        <v>1798</v>
      </c>
    </row>
    <row r="187" spans="1:15" x14ac:dyDescent="0.25">
      <c r="A187" t="s">
        <v>1848</v>
      </c>
      <c r="B187" t="s">
        <v>1845</v>
      </c>
      <c r="C187" t="s">
        <v>1847</v>
      </c>
      <c r="D187" t="s">
        <v>43</v>
      </c>
      <c r="E187">
        <v>307965</v>
      </c>
      <c r="F187" t="s">
        <v>44</v>
      </c>
      <c r="G187" t="s">
        <v>1846</v>
      </c>
      <c r="H187" t="str">
        <f t="shared" si="4"/>
        <v>1025/2019</v>
      </c>
      <c r="I187" t="s">
        <v>2400</v>
      </c>
      <c r="K187" t="s">
        <v>1844</v>
      </c>
      <c r="L187" t="s">
        <v>1797</v>
      </c>
      <c r="M187" t="str">
        <f t="shared" si="5"/>
        <v>projectCollections</v>
      </c>
      <c r="N187" t="s">
        <v>1792</v>
      </c>
      <c r="O187" t="s">
        <v>1798</v>
      </c>
    </row>
    <row r="188" spans="1:15" x14ac:dyDescent="0.25">
      <c r="A188" t="s">
        <v>1884</v>
      </c>
      <c r="B188" t="s">
        <v>1881</v>
      </c>
      <c r="C188" t="s">
        <v>1883</v>
      </c>
      <c r="D188" t="s">
        <v>43</v>
      </c>
      <c r="E188">
        <v>307966</v>
      </c>
      <c r="F188" t="s">
        <v>44</v>
      </c>
      <c r="G188" t="s">
        <v>1882</v>
      </c>
      <c r="H188" t="str">
        <f t="shared" si="4"/>
        <v>1025/2019</v>
      </c>
      <c r="I188" t="s">
        <v>2400</v>
      </c>
      <c r="L188" t="s">
        <v>1797</v>
      </c>
      <c r="M188" t="str">
        <f t="shared" si="5"/>
        <v>projectCollections</v>
      </c>
      <c r="N188" t="s">
        <v>1792</v>
      </c>
      <c r="O188" t="s">
        <v>1798</v>
      </c>
    </row>
    <row r="189" spans="1:15" x14ac:dyDescent="0.25">
      <c r="A189" t="s">
        <v>1888</v>
      </c>
      <c r="B189" t="s">
        <v>1885</v>
      </c>
      <c r="C189" t="s">
        <v>1887</v>
      </c>
      <c r="D189" t="s">
        <v>43</v>
      </c>
      <c r="E189">
        <v>307967</v>
      </c>
      <c r="F189" t="s">
        <v>44</v>
      </c>
      <c r="G189" t="s">
        <v>1886</v>
      </c>
      <c r="H189" t="str">
        <f t="shared" si="4"/>
        <v>1025/2019</v>
      </c>
      <c r="I189" t="s">
        <v>2400</v>
      </c>
      <c r="L189" t="s">
        <v>1797</v>
      </c>
      <c r="M189" t="str">
        <f t="shared" si="5"/>
        <v>projectCollections</v>
      </c>
      <c r="N189" t="s">
        <v>1792</v>
      </c>
      <c r="O189" t="s">
        <v>1798</v>
      </c>
    </row>
    <row r="190" spans="1:15" x14ac:dyDescent="0.25">
      <c r="A190" t="s">
        <v>1893</v>
      </c>
      <c r="B190" t="s">
        <v>1890</v>
      </c>
      <c r="C190" t="s">
        <v>1892</v>
      </c>
      <c r="D190" t="s">
        <v>43</v>
      </c>
      <c r="E190">
        <v>307968</v>
      </c>
      <c r="F190" t="s">
        <v>44</v>
      </c>
      <c r="G190" t="s">
        <v>1891</v>
      </c>
      <c r="H190" t="str">
        <f t="shared" si="4"/>
        <v>1025/2019</v>
      </c>
      <c r="I190" t="s">
        <v>2400</v>
      </c>
      <c r="K190" t="s">
        <v>1889</v>
      </c>
      <c r="L190" t="s">
        <v>1797</v>
      </c>
      <c r="M190" t="str">
        <f t="shared" si="5"/>
        <v>projectCollections</v>
      </c>
      <c r="N190" t="s">
        <v>1792</v>
      </c>
      <c r="O190" t="s">
        <v>1798</v>
      </c>
    </row>
    <row r="191" spans="1:15" x14ac:dyDescent="0.25">
      <c r="A191" t="s">
        <v>1852</v>
      </c>
      <c r="B191" t="s">
        <v>1849</v>
      </c>
      <c r="C191" t="s">
        <v>1851</v>
      </c>
      <c r="D191" t="s">
        <v>43</v>
      </c>
      <c r="E191">
        <v>307969</v>
      </c>
      <c r="F191" t="s">
        <v>44</v>
      </c>
      <c r="G191" t="s">
        <v>1850</v>
      </c>
      <c r="H191" t="str">
        <f t="shared" si="4"/>
        <v>1025/2019</v>
      </c>
      <c r="I191" t="s">
        <v>2400</v>
      </c>
      <c r="K191" t="s">
        <v>1894</v>
      </c>
      <c r="L191" t="s">
        <v>1797</v>
      </c>
      <c r="M191" t="str">
        <f t="shared" si="5"/>
        <v>projectCollections</v>
      </c>
      <c r="N191" t="s">
        <v>1792</v>
      </c>
      <c r="O191" t="s">
        <v>1798</v>
      </c>
    </row>
    <row r="192" spans="1:15" x14ac:dyDescent="0.25">
      <c r="A192" t="s">
        <v>1898</v>
      </c>
      <c r="B192" t="s">
        <v>1895</v>
      </c>
      <c r="C192" t="s">
        <v>1897</v>
      </c>
      <c r="D192" t="s">
        <v>43</v>
      </c>
      <c r="E192">
        <v>307970</v>
      </c>
      <c r="F192" t="s">
        <v>44</v>
      </c>
      <c r="G192" t="s">
        <v>1896</v>
      </c>
      <c r="H192" t="str">
        <f t="shared" si="4"/>
        <v>1025/2019</v>
      </c>
      <c r="I192" t="s">
        <v>2400</v>
      </c>
      <c r="L192" t="s">
        <v>1797</v>
      </c>
      <c r="M192" t="str">
        <f t="shared" si="5"/>
        <v>projectCollections</v>
      </c>
      <c r="N192" t="s">
        <v>1792</v>
      </c>
      <c r="O192" t="s">
        <v>1798</v>
      </c>
    </row>
    <row r="193" spans="1:15" x14ac:dyDescent="0.25">
      <c r="A193" t="s">
        <v>1856</v>
      </c>
      <c r="B193" t="s">
        <v>1853</v>
      </c>
      <c r="C193" t="s">
        <v>1855</v>
      </c>
      <c r="D193" t="s">
        <v>43</v>
      </c>
      <c r="E193">
        <v>307971</v>
      </c>
      <c r="F193" t="s">
        <v>44</v>
      </c>
      <c r="G193" t="s">
        <v>1854</v>
      </c>
      <c r="H193" t="str">
        <f t="shared" si="4"/>
        <v>1025/2019</v>
      </c>
      <c r="I193" t="s">
        <v>2400</v>
      </c>
      <c r="L193" t="s">
        <v>1797</v>
      </c>
      <c r="M193" t="str">
        <f t="shared" si="5"/>
        <v>projectCollections</v>
      </c>
      <c r="N193" t="s">
        <v>1792</v>
      </c>
      <c r="O193" t="s">
        <v>1798</v>
      </c>
    </row>
    <row r="194" spans="1:15" x14ac:dyDescent="0.25">
      <c r="A194" t="s">
        <v>1901</v>
      </c>
      <c r="B194" t="s">
        <v>679</v>
      </c>
      <c r="C194" t="s">
        <v>1900</v>
      </c>
      <c r="D194" t="s">
        <v>43</v>
      </c>
      <c r="E194">
        <v>307972</v>
      </c>
      <c r="F194" t="s">
        <v>44</v>
      </c>
      <c r="G194" t="s">
        <v>1899</v>
      </c>
      <c r="H194" t="str">
        <f t="shared" ref="H194:H257" si="6">TEXT(DATEVALUE(LEFT(G194,10)),"MMDD/YYYY")</f>
        <v>1025/2019</v>
      </c>
      <c r="I194" t="s">
        <v>2400</v>
      </c>
      <c r="L194" t="s">
        <v>1797</v>
      </c>
      <c r="M194" t="str">
        <f t="shared" ref="M194:M257" si="7">MID(L194, 33, 18)</f>
        <v>projectCollections</v>
      </c>
      <c r="N194" t="s">
        <v>1792</v>
      </c>
      <c r="O194" t="s">
        <v>1798</v>
      </c>
    </row>
    <row r="195" spans="1:15" x14ac:dyDescent="0.25">
      <c r="A195" t="s">
        <v>1860</v>
      </c>
      <c r="B195" t="s">
        <v>1857</v>
      </c>
      <c r="C195" t="s">
        <v>1859</v>
      </c>
      <c r="D195" t="s">
        <v>43</v>
      </c>
      <c r="E195">
        <v>307973</v>
      </c>
      <c r="F195" t="s">
        <v>44</v>
      </c>
      <c r="G195" t="s">
        <v>1858</v>
      </c>
      <c r="H195" t="str">
        <f t="shared" si="6"/>
        <v>1025/2019</v>
      </c>
      <c r="I195" t="s">
        <v>2400</v>
      </c>
      <c r="L195" t="s">
        <v>1797</v>
      </c>
      <c r="M195" t="str">
        <f t="shared" si="7"/>
        <v>projectCollections</v>
      </c>
      <c r="N195" t="s">
        <v>1792</v>
      </c>
      <c r="O195" t="s">
        <v>1798</v>
      </c>
    </row>
    <row r="196" spans="1:15" x14ac:dyDescent="0.25">
      <c r="A196" t="s">
        <v>1870</v>
      </c>
      <c r="B196" t="s">
        <v>1866</v>
      </c>
      <c r="C196" t="s">
        <v>1869</v>
      </c>
      <c r="D196" t="s">
        <v>43</v>
      </c>
      <c r="E196">
        <v>307985</v>
      </c>
      <c r="F196" t="s">
        <v>44</v>
      </c>
      <c r="G196" t="s">
        <v>1868</v>
      </c>
      <c r="H196" t="str">
        <f t="shared" si="6"/>
        <v>0520/2020</v>
      </c>
      <c r="I196" t="s">
        <v>2417</v>
      </c>
      <c r="L196" t="s">
        <v>1797</v>
      </c>
      <c r="M196" t="str">
        <f t="shared" si="7"/>
        <v>projectCollections</v>
      </c>
      <c r="N196" t="s">
        <v>1792</v>
      </c>
      <c r="O196" t="s">
        <v>1798</v>
      </c>
    </row>
    <row r="197" spans="1:15" x14ac:dyDescent="0.25">
      <c r="A197" t="s">
        <v>1905</v>
      </c>
      <c r="B197" t="s">
        <v>1902</v>
      </c>
      <c r="C197" t="s">
        <v>1904</v>
      </c>
      <c r="D197" t="s">
        <v>43</v>
      </c>
      <c r="E197">
        <v>307975</v>
      </c>
      <c r="F197" t="s">
        <v>44</v>
      </c>
      <c r="G197" t="s">
        <v>1903</v>
      </c>
      <c r="H197" t="str">
        <f t="shared" si="6"/>
        <v>1025/2019</v>
      </c>
      <c r="I197" t="s">
        <v>2400</v>
      </c>
      <c r="L197" t="s">
        <v>1797</v>
      </c>
      <c r="M197" t="str">
        <f t="shared" si="7"/>
        <v>projectCollections</v>
      </c>
      <c r="N197" t="s">
        <v>1792</v>
      </c>
      <c r="O197" t="s">
        <v>1798</v>
      </c>
    </row>
    <row r="198" spans="1:15" x14ac:dyDescent="0.25">
      <c r="A198" t="s">
        <v>1864</v>
      </c>
      <c r="B198" t="s">
        <v>1861</v>
      </c>
      <c r="C198" t="s">
        <v>1863</v>
      </c>
      <c r="D198" t="s">
        <v>43</v>
      </c>
      <c r="E198">
        <v>307976</v>
      </c>
      <c r="F198" t="s">
        <v>44</v>
      </c>
      <c r="G198" t="s">
        <v>1862</v>
      </c>
      <c r="H198" t="str">
        <f t="shared" si="6"/>
        <v>1025/2019</v>
      </c>
      <c r="I198" t="s">
        <v>2400</v>
      </c>
      <c r="L198" t="s">
        <v>1797</v>
      </c>
      <c r="M198" t="str">
        <f t="shared" si="7"/>
        <v>projectCollections</v>
      </c>
      <c r="N198" t="s">
        <v>1792</v>
      </c>
      <c r="O198" t="s">
        <v>1798</v>
      </c>
    </row>
    <row r="199" spans="1:15" x14ac:dyDescent="0.25">
      <c r="A199" t="s">
        <v>1910</v>
      </c>
      <c r="B199" t="s">
        <v>1906</v>
      </c>
      <c r="C199" t="s">
        <v>1909</v>
      </c>
      <c r="D199" t="s">
        <v>43</v>
      </c>
      <c r="E199">
        <v>307984</v>
      </c>
      <c r="F199" t="s">
        <v>44</v>
      </c>
      <c r="G199" t="s">
        <v>1908</v>
      </c>
      <c r="H199" t="str">
        <f t="shared" si="6"/>
        <v>1112/2019</v>
      </c>
      <c r="I199" t="s">
        <v>2464</v>
      </c>
      <c r="K199" t="s">
        <v>1865</v>
      </c>
      <c r="L199" t="s">
        <v>1797</v>
      </c>
      <c r="M199" t="str">
        <f t="shared" si="7"/>
        <v>projectCollections</v>
      </c>
      <c r="N199" t="s">
        <v>1792</v>
      </c>
      <c r="O199" t="s">
        <v>1798</v>
      </c>
    </row>
    <row r="200" spans="1:15" x14ac:dyDescent="0.25">
      <c r="A200" t="s">
        <v>1365</v>
      </c>
      <c r="B200" t="s">
        <v>1357</v>
      </c>
      <c r="C200" t="s">
        <v>1362</v>
      </c>
      <c r="D200" t="s">
        <v>43</v>
      </c>
      <c r="E200">
        <v>130437</v>
      </c>
      <c r="F200" t="s">
        <v>44</v>
      </c>
      <c r="G200" t="s">
        <v>1361</v>
      </c>
      <c r="H200" t="str">
        <f t="shared" si="6"/>
        <v>1015/2019</v>
      </c>
      <c r="I200" t="s">
        <v>2465</v>
      </c>
      <c r="K200" t="s">
        <v>1911</v>
      </c>
      <c r="L200" t="s">
        <v>1363</v>
      </c>
      <c r="M200" t="str">
        <f t="shared" si="7"/>
        <v>projectCollections</v>
      </c>
      <c r="N200" t="s">
        <v>1356</v>
      </c>
      <c r="O200" t="s">
        <v>1364</v>
      </c>
    </row>
    <row r="201" spans="1:15" x14ac:dyDescent="0.25">
      <c r="A201" t="s">
        <v>1576</v>
      </c>
      <c r="B201" t="s">
        <v>1573</v>
      </c>
      <c r="C201" t="s">
        <v>1575</v>
      </c>
      <c r="D201" t="s">
        <v>43</v>
      </c>
      <c r="E201">
        <v>130436</v>
      </c>
      <c r="F201" t="s">
        <v>44</v>
      </c>
      <c r="G201" t="s">
        <v>1574</v>
      </c>
      <c r="H201" t="str">
        <f t="shared" si="6"/>
        <v>0926/2019</v>
      </c>
      <c r="I201" t="s">
        <v>2410</v>
      </c>
      <c r="K201" t="s">
        <v>1366</v>
      </c>
      <c r="L201" t="s">
        <v>1363</v>
      </c>
      <c r="M201" t="str">
        <f t="shared" si="7"/>
        <v>projectCollections</v>
      </c>
      <c r="N201" t="s">
        <v>1356</v>
      </c>
      <c r="O201" t="s">
        <v>1364</v>
      </c>
    </row>
    <row r="202" spans="1:15" x14ac:dyDescent="0.25">
      <c r="A202" t="s">
        <v>42</v>
      </c>
      <c r="B202" t="s">
        <v>34</v>
      </c>
      <c r="C202" t="s">
        <v>39</v>
      </c>
      <c r="D202" t="s">
        <v>43</v>
      </c>
      <c r="E202">
        <v>742477</v>
      </c>
      <c r="F202" t="s">
        <v>44</v>
      </c>
      <c r="G202" t="s">
        <v>38</v>
      </c>
      <c r="H202" t="str">
        <f t="shared" si="6"/>
        <v>0926/2019</v>
      </c>
      <c r="I202" t="s">
        <v>2410</v>
      </c>
      <c r="L202" t="s">
        <v>40</v>
      </c>
      <c r="M202" t="str">
        <f t="shared" si="7"/>
        <v>projectCollections</v>
      </c>
      <c r="N202" t="s">
        <v>4</v>
      </c>
      <c r="O202" t="s">
        <v>41</v>
      </c>
    </row>
    <row r="203" spans="1:15" x14ac:dyDescent="0.25">
      <c r="A203" t="s">
        <v>49</v>
      </c>
      <c r="B203" t="s">
        <v>46</v>
      </c>
      <c r="C203" t="s">
        <v>48</v>
      </c>
      <c r="D203" t="s">
        <v>43</v>
      </c>
      <c r="E203">
        <v>742478</v>
      </c>
      <c r="F203" t="s">
        <v>44</v>
      </c>
      <c r="G203" t="s">
        <v>47</v>
      </c>
      <c r="H203" t="str">
        <f t="shared" si="6"/>
        <v>0926/2019</v>
      </c>
      <c r="I203" t="s">
        <v>2410</v>
      </c>
      <c r="K203" t="s">
        <v>45</v>
      </c>
      <c r="L203" t="s">
        <v>40</v>
      </c>
      <c r="M203" t="str">
        <f t="shared" si="7"/>
        <v>projectCollections</v>
      </c>
      <c r="N203" t="s">
        <v>4</v>
      </c>
      <c r="O203" t="s">
        <v>41</v>
      </c>
    </row>
    <row r="204" spans="1:15" x14ac:dyDescent="0.25">
      <c r="H204" t="e">
        <f t="shared" si="6"/>
        <v>#VALUE!</v>
      </c>
      <c r="I204" t="e">
        <v>#VALUE!</v>
      </c>
      <c r="L204" t="s">
        <v>29</v>
      </c>
      <c r="M204" t="str">
        <f t="shared" si="7"/>
        <v>projectCollections</v>
      </c>
      <c r="N204" t="s">
        <v>25</v>
      </c>
      <c r="O204" t="s">
        <v>30</v>
      </c>
    </row>
    <row r="205" spans="1:15" x14ac:dyDescent="0.25">
      <c r="A205" t="s">
        <v>1391</v>
      </c>
      <c r="B205" t="s">
        <v>1386</v>
      </c>
      <c r="C205" t="s">
        <v>1390</v>
      </c>
      <c r="D205" t="s">
        <v>43</v>
      </c>
      <c r="E205">
        <v>3399619</v>
      </c>
      <c r="F205" t="s">
        <v>44</v>
      </c>
      <c r="G205" t="s">
        <v>1389</v>
      </c>
      <c r="H205" t="str">
        <f t="shared" si="6"/>
        <v>0926/2019</v>
      </c>
      <c r="I205" t="s">
        <v>2410</v>
      </c>
      <c r="L205" t="s">
        <v>1305</v>
      </c>
      <c r="M205" t="str">
        <f t="shared" si="7"/>
        <v>projectCollections</v>
      </c>
      <c r="N205" t="s">
        <v>1299</v>
      </c>
      <c r="O205" t="s">
        <v>1306</v>
      </c>
    </row>
    <row r="206" spans="1:15" x14ac:dyDescent="0.25">
      <c r="A206" t="s">
        <v>1396</v>
      </c>
      <c r="B206" t="s">
        <v>1392</v>
      </c>
      <c r="C206" t="s">
        <v>1395</v>
      </c>
      <c r="D206" t="s">
        <v>43</v>
      </c>
      <c r="E206">
        <v>3399620</v>
      </c>
      <c r="F206" t="s">
        <v>44</v>
      </c>
      <c r="G206" t="s">
        <v>1394</v>
      </c>
      <c r="H206" t="str">
        <f t="shared" si="6"/>
        <v>0926/2019</v>
      </c>
      <c r="I206" t="s">
        <v>2410</v>
      </c>
      <c r="L206" t="s">
        <v>1305</v>
      </c>
      <c r="M206" t="str">
        <f t="shared" si="7"/>
        <v>projectCollections</v>
      </c>
      <c r="N206" t="s">
        <v>1299</v>
      </c>
      <c r="O206" t="s">
        <v>1306</v>
      </c>
    </row>
    <row r="207" spans="1:15" x14ac:dyDescent="0.25">
      <c r="A207" t="s">
        <v>1401</v>
      </c>
      <c r="B207" t="s">
        <v>1397</v>
      </c>
      <c r="C207" t="s">
        <v>1400</v>
      </c>
      <c r="D207" t="s">
        <v>43</v>
      </c>
      <c r="E207">
        <v>3399621</v>
      </c>
      <c r="F207" t="s">
        <v>44</v>
      </c>
      <c r="G207" t="s">
        <v>1399</v>
      </c>
      <c r="H207" t="str">
        <f t="shared" si="6"/>
        <v>0926/2019</v>
      </c>
      <c r="I207" t="s">
        <v>2410</v>
      </c>
      <c r="L207" t="s">
        <v>1305</v>
      </c>
      <c r="M207" t="str">
        <f t="shared" si="7"/>
        <v>projectCollections</v>
      </c>
      <c r="N207" t="s">
        <v>1299</v>
      </c>
      <c r="O207" t="s">
        <v>1306</v>
      </c>
    </row>
    <row r="208" spans="1:15" x14ac:dyDescent="0.25">
      <c r="A208" t="s">
        <v>1406</v>
      </c>
      <c r="B208" t="s">
        <v>1403</v>
      </c>
      <c r="C208" t="s">
        <v>1405</v>
      </c>
      <c r="D208" t="s">
        <v>43</v>
      </c>
      <c r="E208">
        <v>3399622</v>
      </c>
      <c r="F208" t="s">
        <v>44</v>
      </c>
      <c r="G208" t="s">
        <v>1404</v>
      </c>
      <c r="H208" t="str">
        <f t="shared" si="6"/>
        <v>0926/2019</v>
      </c>
      <c r="I208" t="s">
        <v>2410</v>
      </c>
      <c r="K208" t="s">
        <v>1402</v>
      </c>
      <c r="L208" t="s">
        <v>1305</v>
      </c>
      <c r="M208" t="str">
        <f t="shared" si="7"/>
        <v>projectCollections</v>
      </c>
      <c r="N208" t="s">
        <v>1299</v>
      </c>
      <c r="O208" t="s">
        <v>1306</v>
      </c>
    </row>
    <row r="209" spans="1:15" x14ac:dyDescent="0.25">
      <c r="A209" t="s">
        <v>1410</v>
      </c>
      <c r="B209" t="s">
        <v>854</v>
      </c>
      <c r="C209" t="s">
        <v>1409</v>
      </c>
      <c r="D209" t="s">
        <v>43</v>
      </c>
      <c r="E209">
        <v>3399623</v>
      </c>
      <c r="F209" t="s">
        <v>44</v>
      </c>
      <c r="G209" t="s">
        <v>1408</v>
      </c>
      <c r="H209" t="str">
        <f t="shared" si="6"/>
        <v>0926/2019</v>
      </c>
      <c r="I209" t="s">
        <v>2410</v>
      </c>
      <c r="L209" t="s">
        <v>1305</v>
      </c>
      <c r="M209" t="str">
        <f t="shared" si="7"/>
        <v>projectCollections</v>
      </c>
      <c r="N209" t="s">
        <v>1299</v>
      </c>
      <c r="O209" t="s">
        <v>1306</v>
      </c>
    </row>
    <row r="210" spans="1:15" x14ac:dyDescent="0.25">
      <c r="A210" t="s">
        <v>1416</v>
      </c>
      <c r="B210" t="s">
        <v>1412</v>
      </c>
      <c r="C210" t="s">
        <v>1415</v>
      </c>
      <c r="D210" t="s">
        <v>43</v>
      </c>
      <c r="E210">
        <v>3399624</v>
      </c>
      <c r="F210" t="s">
        <v>44</v>
      </c>
      <c r="G210" t="s">
        <v>1414</v>
      </c>
      <c r="H210" t="str">
        <f t="shared" si="6"/>
        <v>0926/2019</v>
      </c>
      <c r="I210" t="s">
        <v>2410</v>
      </c>
      <c r="K210" t="s">
        <v>1411</v>
      </c>
      <c r="L210" t="s">
        <v>1305</v>
      </c>
      <c r="M210" t="str">
        <f t="shared" si="7"/>
        <v>projectCollections</v>
      </c>
      <c r="N210" t="s">
        <v>1299</v>
      </c>
      <c r="O210" t="s">
        <v>1306</v>
      </c>
    </row>
    <row r="211" spans="1:15" x14ac:dyDescent="0.25">
      <c r="A211" t="s">
        <v>1420</v>
      </c>
      <c r="B211" t="s">
        <v>1417</v>
      </c>
      <c r="C211" t="s">
        <v>1419</v>
      </c>
      <c r="D211" t="s">
        <v>43</v>
      </c>
      <c r="E211">
        <v>3399625</v>
      </c>
      <c r="F211" t="s">
        <v>44</v>
      </c>
      <c r="G211" t="s">
        <v>1418</v>
      </c>
      <c r="H211" t="str">
        <f t="shared" si="6"/>
        <v>0926/2019</v>
      </c>
      <c r="I211" t="s">
        <v>2410</v>
      </c>
      <c r="L211" t="s">
        <v>1305</v>
      </c>
      <c r="M211" t="str">
        <f t="shared" si="7"/>
        <v>projectCollections</v>
      </c>
      <c r="N211" t="s">
        <v>1299</v>
      </c>
      <c r="O211" t="s">
        <v>1306</v>
      </c>
    </row>
    <row r="212" spans="1:15" x14ac:dyDescent="0.25">
      <c r="A212" t="s">
        <v>1424</v>
      </c>
      <c r="B212" t="s">
        <v>1421</v>
      </c>
      <c r="C212" t="s">
        <v>1423</v>
      </c>
      <c r="D212" t="s">
        <v>43</v>
      </c>
      <c r="E212">
        <v>3399626</v>
      </c>
      <c r="F212" t="s">
        <v>44</v>
      </c>
      <c r="G212" t="s">
        <v>1422</v>
      </c>
      <c r="H212" t="str">
        <f t="shared" si="6"/>
        <v>0926/2019</v>
      </c>
      <c r="I212" t="s">
        <v>2410</v>
      </c>
      <c r="L212" t="s">
        <v>1305</v>
      </c>
      <c r="M212" t="str">
        <f t="shared" si="7"/>
        <v>projectCollections</v>
      </c>
      <c r="N212" t="s">
        <v>1299</v>
      </c>
      <c r="O212" t="s">
        <v>1306</v>
      </c>
    </row>
    <row r="213" spans="1:15" x14ac:dyDescent="0.25">
      <c r="A213" t="s">
        <v>1428</v>
      </c>
      <c r="B213" t="s">
        <v>1425</v>
      </c>
      <c r="C213" t="s">
        <v>1427</v>
      </c>
      <c r="D213" t="s">
        <v>43</v>
      </c>
      <c r="E213">
        <v>3399627</v>
      </c>
      <c r="F213" t="s">
        <v>44</v>
      </c>
      <c r="G213" t="s">
        <v>1426</v>
      </c>
      <c r="H213" t="str">
        <f t="shared" si="6"/>
        <v>0926/2019</v>
      </c>
      <c r="I213" t="s">
        <v>2410</v>
      </c>
      <c r="L213" t="s">
        <v>1305</v>
      </c>
      <c r="M213" t="str">
        <f t="shared" si="7"/>
        <v>projectCollections</v>
      </c>
      <c r="N213" t="s">
        <v>1299</v>
      </c>
      <c r="O213" t="s">
        <v>1306</v>
      </c>
    </row>
    <row r="214" spans="1:15" x14ac:dyDescent="0.25">
      <c r="A214" t="s">
        <v>1432</v>
      </c>
      <c r="B214" t="s">
        <v>1429</v>
      </c>
      <c r="C214" t="s">
        <v>1431</v>
      </c>
      <c r="D214" t="s">
        <v>43</v>
      </c>
      <c r="E214">
        <v>3399628</v>
      </c>
      <c r="F214" t="s">
        <v>44</v>
      </c>
      <c r="G214" t="s">
        <v>1430</v>
      </c>
      <c r="H214" t="str">
        <f t="shared" si="6"/>
        <v>0926/2019</v>
      </c>
      <c r="I214" t="s">
        <v>2410</v>
      </c>
      <c r="L214" t="s">
        <v>1305</v>
      </c>
      <c r="M214" t="str">
        <f t="shared" si="7"/>
        <v>projectCollections</v>
      </c>
      <c r="N214" t="s">
        <v>1299</v>
      </c>
      <c r="O214" t="s">
        <v>1306</v>
      </c>
    </row>
    <row r="215" spans="1:15" x14ac:dyDescent="0.25">
      <c r="A215" t="s">
        <v>1437</v>
      </c>
      <c r="B215" t="s">
        <v>1434</v>
      </c>
      <c r="C215" t="s">
        <v>1436</v>
      </c>
      <c r="D215" t="s">
        <v>43</v>
      </c>
      <c r="E215">
        <v>3399629</v>
      </c>
      <c r="F215" t="s">
        <v>44</v>
      </c>
      <c r="G215" t="s">
        <v>1435</v>
      </c>
      <c r="H215" t="str">
        <f t="shared" si="6"/>
        <v>0926/2019</v>
      </c>
      <c r="I215" t="s">
        <v>2410</v>
      </c>
      <c r="K215" t="s">
        <v>1433</v>
      </c>
      <c r="L215" t="s">
        <v>1305</v>
      </c>
      <c r="M215" t="str">
        <f t="shared" si="7"/>
        <v>projectCollections</v>
      </c>
      <c r="N215" t="s">
        <v>1299</v>
      </c>
      <c r="O215" t="s">
        <v>1306</v>
      </c>
    </row>
    <row r="216" spans="1:15" x14ac:dyDescent="0.25">
      <c r="A216" t="s">
        <v>1442</v>
      </c>
      <c r="B216" t="s">
        <v>1439</v>
      </c>
      <c r="C216" t="s">
        <v>1441</v>
      </c>
      <c r="D216" t="s">
        <v>43</v>
      </c>
      <c r="E216">
        <v>3399630</v>
      </c>
      <c r="F216" t="s">
        <v>44</v>
      </c>
      <c r="G216" t="s">
        <v>1440</v>
      </c>
      <c r="H216" t="str">
        <f t="shared" si="6"/>
        <v>0926/2019</v>
      </c>
      <c r="I216" t="s">
        <v>2410</v>
      </c>
      <c r="K216" t="s">
        <v>1438</v>
      </c>
      <c r="L216" t="s">
        <v>1305</v>
      </c>
      <c r="M216" t="str">
        <f t="shared" si="7"/>
        <v>projectCollections</v>
      </c>
      <c r="N216" t="s">
        <v>1299</v>
      </c>
      <c r="O216" t="s">
        <v>1306</v>
      </c>
    </row>
    <row r="217" spans="1:15" x14ac:dyDescent="0.25">
      <c r="A217" t="s">
        <v>1446</v>
      </c>
      <c r="B217" t="s">
        <v>1443</v>
      </c>
      <c r="C217" t="s">
        <v>1445</v>
      </c>
      <c r="D217" t="s">
        <v>43</v>
      </c>
      <c r="E217">
        <v>3399631</v>
      </c>
      <c r="F217" t="s">
        <v>44</v>
      </c>
      <c r="G217" t="s">
        <v>1444</v>
      </c>
      <c r="H217" t="str">
        <f t="shared" si="6"/>
        <v>0926/2019</v>
      </c>
      <c r="I217" t="s">
        <v>2410</v>
      </c>
      <c r="L217" t="s">
        <v>1305</v>
      </c>
      <c r="M217" t="str">
        <f t="shared" si="7"/>
        <v>projectCollections</v>
      </c>
      <c r="N217" t="s">
        <v>1299</v>
      </c>
      <c r="O217" t="s">
        <v>1306</v>
      </c>
    </row>
    <row r="218" spans="1:15" x14ac:dyDescent="0.25">
      <c r="A218" t="s">
        <v>1450</v>
      </c>
      <c r="B218" t="s">
        <v>1447</v>
      </c>
      <c r="C218" t="s">
        <v>1449</v>
      </c>
      <c r="D218" t="s">
        <v>43</v>
      </c>
      <c r="E218">
        <v>3399632</v>
      </c>
      <c r="F218" t="s">
        <v>44</v>
      </c>
      <c r="G218" t="s">
        <v>1448</v>
      </c>
      <c r="H218" t="str">
        <f t="shared" si="6"/>
        <v>0926/2019</v>
      </c>
      <c r="I218" t="s">
        <v>2410</v>
      </c>
      <c r="L218" t="s">
        <v>1305</v>
      </c>
      <c r="M218" t="str">
        <f t="shared" si="7"/>
        <v>projectCollections</v>
      </c>
      <c r="N218" t="s">
        <v>1299</v>
      </c>
      <c r="O218" t="s">
        <v>1306</v>
      </c>
    </row>
    <row r="219" spans="1:15" x14ac:dyDescent="0.25">
      <c r="A219" t="s">
        <v>1455</v>
      </c>
      <c r="B219" t="s">
        <v>1452</v>
      </c>
      <c r="C219" t="s">
        <v>1454</v>
      </c>
      <c r="D219" t="s">
        <v>43</v>
      </c>
      <c r="E219">
        <v>3399633</v>
      </c>
      <c r="F219" t="s">
        <v>44</v>
      </c>
      <c r="G219" t="s">
        <v>1453</v>
      </c>
      <c r="H219" t="str">
        <f t="shared" si="6"/>
        <v>0926/2019</v>
      </c>
      <c r="I219" t="s">
        <v>2410</v>
      </c>
      <c r="K219" t="s">
        <v>1451</v>
      </c>
      <c r="L219" t="s">
        <v>1305</v>
      </c>
      <c r="M219" t="str">
        <f t="shared" si="7"/>
        <v>projectCollections</v>
      </c>
      <c r="N219" t="s">
        <v>1299</v>
      </c>
      <c r="O219" t="s">
        <v>1306</v>
      </c>
    </row>
    <row r="220" spans="1:15" x14ac:dyDescent="0.25">
      <c r="A220" t="s">
        <v>1460</v>
      </c>
      <c r="B220" t="s">
        <v>1457</v>
      </c>
      <c r="C220" t="s">
        <v>1459</v>
      </c>
      <c r="D220" t="s">
        <v>43</v>
      </c>
      <c r="E220">
        <v>3399634</v>
      </c>
      <c r="F220" t="s">
        <v>44</v>
      </c>
      <c r="G220" t="s">
        <v>1458</v>
      </c>
      <c r="H220" t="str">
        <f t="shared" si="6"/>
        <v>0926/2019</v>
      </c>
      <c r="I220" t="s">
        <v>2410</v>
      </c>
      <c r="K220" t="s">
        <v>1456</v>
      </c>
      <c r="L220" t="s">
        <v>1305</v>
      </c>
      <c r="M220" t="str">
        <f t="shared" si="7"/>
        <v>projectCollections</v>
      </c>
      <c r="N220" t="s">
        <v>1299</v>
      </c>
      <c r="O220" t="s">
        <v>1306</v>
      </c>
    </row>
    <row r="221" spans="1:15" x14ac:dyDescent="0.25">
      <c r="A221" t="s">
        <v>1464</v>
      </c>
      <c r="B221" t="s">
        <v>1461</v>
      </c>
      <c r="C221" t="s">
        <v>1463</v>
      </c>
      <c r="D221" t="s">
        <v>43</v>
      </c>
      <c r="E221">
        <v>3399635</v>
      </c>
      <c r="F221" t="s">
        <v>44</v>
      </c>
      <c r="G221" t="s">
        <v>1462</v>
      </c>
      <c r="H221" t="str">
        <f t="shared" si="6"/>
        <v>0926/2019</v>
      </c>
      <c r="I221" t="s">
        <v>2410</v>
      </c>
      <c r="K221" t="s">
        <v>1461</v>
      </c>
      <c r="L221" t="s">
        <v>1305</v>
      </c>
      <c r="M221" t="str">
        <f t="shared" si="7"/>
        <v>projectCollections</v>
      </c>
      <c r="N221" t="s">
        <v>1299</v>
      </c>
      <c r="O221" t="s">
        <v>1306</v>
      </c>
    </row>
    <row r="222" spans="1:15" x14ac:dyDescent="0.25">
      <c r="A222" t="s">
        <v>1468</v>
      </c>
      <c r="B222" t="s">
        <v>1465</v>
      </c>
      <c r="C222" t="s">
        <v>1467</v>
      </c>
      <c r="D222" t="s">
        <v>43</v>
      </c>
      <c r="E222">
        <v>3399636</v>
      </c>
      <c r="F222" t="s">
        <v>44</v>
      </c>
      <c r="G222" t="s">
        <v>1466</v>
      </c>
      <c r="H222" t="str">
        <f t="shared" si="6"/>
        <v>0926/2019</v>
      </c>
      <c r="I222" t="s">
        <v>2410</v>
      </c>
      <c r="L222" t="s">
        <v>1305</v>
      </c>
      <c r="M222" t="str">
        <f t="shared" si="7"/>
        <v>projectCollections</v>
      </c>
      <c r="N222" t="s">
        <v>1299</v>
      </c>
      <c r="O222" t="s">
        <v>1306</v>
      </c>
    </row>
    <row r="223" spans="1:15" x14ac:dyDescent="0.25">
      <c r="A223" t="s">
        <v>1472</v>
      </c>
      <c r="B223" t="s">
        <v>1469</v>
      </c>
      <c r="C223" t="s">
        <v>1471</v>
      </c>
      <c r="D223" t="s">
        <v>43</v>
      </c>
      <c r="E223">
        <v>3399637</v>
      </c>
      <c r="F223" t="s">
        <v>44</v>
      </c>
      <c r="G223" t="s">
        <v>1470</v>
      </c>
      <c r="H223" t="str">
        <f t="shared" si="6"/>
        <v>0926/2019</v>
      </c>
      <c r="I223" t="s">
        <v>2410</v>
      </c>
      <c r="L223" t="s">
        <v>1305</v>
      </c>
      <c r="M223" t="str">
        <f t="shared" si="7"/>
        <v>projectCollections</v>
      </c>
      <c r="N223" t="s">
        <v>1299</v>
      </c>
      <c r="O223" t="s">
        <v>1306</v>
      </c>
    </row>
    <row r="224" spans="1:15" x14ac:dyDescent="0.25">
      <c r="A224" t="s">
        <v>1476</v>
      </c>
      <c r="B224" t="s">
        <v>1473</v>
      </c>
      <c r="C224" t="s">
        <v>1475</v>
      </c>
      <c r="D224" t="s">
        <v>43</v>
      </c>
      <c r="E224">
        <v>3399638</v>
      </c>
      <c r="F224" t="s">
        <v>44</v>
      </c>
      <c r="G224" t="s">
        <v>1474</v>
      </c>
      <c r="H224" t="str">
        <f t="shared" si="6"/>
        <v>0926/2019</v>
      </c>
      <c r="I224" t="s">
        <v>2410</v>
      </c>
      <c r="L224" t="s">
        <v>1305</v>
      </c>
      <c r="M224" t="str">
        <f t="shared" si="7"/>
        <v>projectCollections</v>
      </c>
      <c r="N224" t="s">
        <v>1299</v>
      </c>
      <c r="O224" t="s">
        <v>1306</v>
      </c>
    </row>
    <row r="225" spans="1:15" x14ac:dyDescent="0.25">
      <c r="A225" t="s">
        <v>1480</v>
      </c>
      <c r="B225" t="s">
        <v>1477</v>
      </c>
      <c r="C225" t="s">
        <v>1479</v>
      </c>
      <c r="D225" t="s">
        <v>43</v>
      </c>
      <c r="E225">
        <v>3399639</v>
      </c>
      <c r="F225" t="s">
        <v>44</v>
      </c>
      <c r="G225" t="s">
        <v>1478</v>
      </c>
      <c r="H225" t="str">
        <f t="shared" si="6"/>
        <v>0926/2019</v>
      </c>
      <c r="I225" t="s">
        <v>2410</v>
      </c>
      <c r="L225" t="s">
        <v>1305</v>
      </c>
      <c r="M225" t="str">
        <f t="shared" si="7"/>
        <v>projectCollections</v>
      </c>
      <c r="N225" t="s">
        <v>1299</v>
      </c>
      <c r="O225" t="s">
        <v>1306</v>
      </c>
    </row>
    <row r="226" spans="1:15" x14ac:dyDescent="0.25">
      <c r="A226" t="s">
        <v>1484</v>
      </c>
      <c r="B226" t="s">
        <v>1481</v>
      </c>
      <c r="C226" t="s">
        <v>1483</v>
      </c>
      <c r="D226" t="s">
        <v>43</v>
      </c>
      <c r="E226">
        <v>3399640</v>
      </c>
      <c r="F226" t="s">
        <v>44</v>
      </c>
      <c r="G226" t="s">
        <v>1482</v>
      </c>
      <c r="H226" t="str">
        <f t="shared" si="6"/>
        <v>0926/2019</v>
      </c>
      <c r="I226" t="s">
        <v>2410</v>
      </c>
      <c r="L226" t="s">
        <v>1305</v>
      </c>
      <c r="M226" t="str">
        <f t="shared" si="7"/>
        <v>projectCollections</v>
      </c>
      <c r="N226" t="s">
        <v>1299</v>
      </c>
      <c r="O226" t="s">
        <v>1306</v>
      </c>
    </row>
    <row r="227" spans="1:15" x14ac:dyDescent="0.25">
      <c r="A227" t="s">
        <v>1488</v>
      </c>
      <c r="B227" t="s">
        <v>1485</v>
      </c>
      <c r="C227" t="s">
        <v>1487</v>
      </c>
      <c r="D227" t="s">
        <v>43</v>
      </c>
      <c r="E227">
        <v>3399641</v>
      </c>
      <c r="F227" t="s">
        <v>44</v>
      </c>
      <c r="G227" t="s">
        <v>1486</v>
      </c>
      <c r="H227" t="str">
        <f t="shared" si="6"/>
        <v>0926/2019</v>
      </c>
      <c r="I227" t="s">
        <v>2410</v>
      </c>
      <c r="L227" t="s">
        <v>1305</v>
      </c>
      <c r="M227" t="str">
        <f t="shared" si="7"/>
        <v>projectCollections</v>
      </c>
      <c r="N227" t="s">
        <v>1299</v>
      </c>
      <c r="O227" t="s">
        <v>1306</v>
      </c>
    </row>
    <row r="228" spans="1:15" x14ac:dyDescent="0.25">
      <c r="A228" t="s">
        <v>1492</v>
      </c>
      <c r="B228" t="s">
        <v>1489</v>
      </c>
      <c r="C228" t="s">
        <v>1491</v>
      </c>
      <c r="D228" t="s">
        <v>43</v>
      </c>
      <c r="E228">
        <v>3399642</v>
      </c>
      <c r="F228" t="s">
        <v>44</v>
      </c>
      <c r="G228" t="s">
        <v>1490</v>
      </c>
      <c r="H228" t="str">
        <f t="shared" si="6"/>
        <v>0926/2019</v>
      </c>
      <c r="I228" t="s">
        <v>2410</v>
      </c>
      <c r="L228" t="s">
        <v>1305</v>
      </c>
      <c r="M228" t="str">
        <f t="shared" si="7"/>
        <v>projectCollections</v>
      </c>
      <c r="N228" t="s">
        <v>1299</v>
      </c>
      <c r="O228" t="s">
        <v>1306</v>
      </c>
    </row>
    <row r="229" spans="1:15" x14ac:dyDescent="0.25">
      <c r="A229" t="s">
        <v>1496</v>
      </c>
      <c r="B229" t="s">
        <v>1493</v>
      </c>
      <c r="C229" t="s">
        <v>1495</v>
      </c>
      <c r="D229" t="s">
        <v>43</v>
      </c>
      <c r="E229">
        <v>3399643</v>
      </c>
      <c r="F229" t="s">
        <v>44</v>
      </c>
      <c r="G229" t="s">
        <v>1494</v>
      </c>
      <c r="H229" t="str">
        <f t="shared" si="6"/>
        <v>0926/2019</v>
      </c>
      <c r="I229" t="s">
        <v>2410</v>
      </c>
      <c r="L229" t="s">
        <v>1305</v>
      </c>
      <c r="M229" t="str">
        <f t="shared" si="7"/>
        <v>projectCollections</v>
      </c>
      <c r="N229" t="s">
        <v>1299</v>
      </c>
      <c r="O229" t="s">
        <v>1306</v>
      </c>
    </row>
    <row r="230" spans="1:15" x14ac:dyDescent="0.25">
      <c r="A230" t="s">
        <v>1500</v>
      </c>
      <c r="B230" t="s">
        <v>1497</v>
      </c>
      <c r="C230" t="s">
        <v>1499</v>
      </c>
      <c r="D230" t="s">
        <v>43</v>
      </c>
      <c r="E230">
        <v>3399644</v>
      </c>
      <c r="F230" t="s">
        <v>44</v>
      </c>
      <c r="G230" t="s">
        <v>1498</v>
      </c>
      <c r="H230" t="str">
        <f t="shared" si="6"/>
        <v>0926/2019</v>
      </c>
      <c r="I230" t="s">
        <v>2410</v>
      </c>
      <c r="L230" t="s">
        <v>1305</v>
      </c>
      <c r="M230" t="str">
        <f t="shared" si="7"/>
        <v>projectCollections</v>
      </c>
      <c r="N230" t="s">
        <v>1299</v>
      </c>
      <c r="O230" t="s">
        <v>1306</v>
      </c>
    </row>
    <row r="231" spans="1:15" x14ac:dyDescent="0.25">
      <c r="A231" t="s">
        <v>1504</v>
      </c>
      <c r="B231" t="s">
        <v>1501</v>
      </c>
      <c r="C231" t="s">
        <v>1503</v>
      </c>
      <c r="D231" t="s">
        <v>43</v>
      </c>
      <c r="E231">
        <v>3399645</v>
      </c>
      <c r="F231" t="s">
        <v>44</v>
      </c>
      <c r="G231" t="s">
        <v>1502</v>
      </c>
      <c r="H231" t="str">
        <f t="shared" si="6"/>
        <v>0926/2019</v>
      </c>
      <c r="I231" t="s">
        <v>2410</v>
      </c>
      <c r="L231" t="s">
        <v>1305</v>
      </c>
      <c r="M231" t="str">
        <f t="shared" si="7"/>
        <v>projectCollections</v>
      </c>
      <c r="N231" t="s">
        <v>1299</v>
      </c>
      <c r="O231" t="s">
        <v>1306</v>
      </c>
    </row>
    <row r="232" spans="1:15" x14ac:dyDescent="0.25">
      <c r="A232" t="s">
        <v>1508</v>
      </c>
      <c r="B232" t="s">
        <v>1505</v>
      </c>
      <c r="C232" t="s">
        <v>1507</v>
      </c>
      <c r="D232" t="s">
        <v>43</v>
      </c>
      <c r="E232">
        <v>3399646</v>
      </c>
      <c r="F232" t="s">
        <v>44</v>
      </c>
      <c r="G232" t="s">
        <v>1506</v>
      </c>
      <c r="H232" t="str">
        <f t="shared" si="6"/>
        <v>0926/2019</v>
      </c>
      <c r="I232" t="s">
        <v>2410</v>
      </c>
      <c r="L232" t="s">
        <v>1305</v>
      </c>
      <c r="M232" t="str">
        <f t="shared" si="7"/>
        <v>projectCollections</v>
      </c>
      <c r="N232" t="s">
        <v>1299</v>
      </c>
      <c r="O232" t="s">
        <v>1306</v>
      </c>
    </row>
    <row r="233" spans="1:15" x14ac:dyDescent="0.25">
      <c r="A233" t="s">
        <v>1512</v>
      </c>
      <c r="B233" t="s">
        <v>1509</v>
      </c>
      <c r="C233" t="s">
        <v>1511</v>
      </c>
      <c r="D233" t="s">
        <v>43</v>
      </c>
      <c r="E233">
        <v>3399647</v>
      </c>
      <c r="F233" t="s">
        <v>44</v>
      </c>
      <c r="G233" t="s">
        <v>1510</v>
      </c>
      <c r="H233" t="str">
        <f t="shared" si="6"/>
        <v>0926/2019</v>
      </c>
      <c r="I233" t="s">
        <v>2410</v>
      </c>
      <c r="L233" t="s">
        <v>1305</v>
      </c>
      <c r="M233" t="str">
        <f t="shared" si="7"/>
        <v>projectCollections</v>
      </c>
      <c r="N233" t="s">
        <v>1299</v>
      </c>
      <c r="O233" t="s">
        <v>1306</v>
      </c>
    </row>
    <row r="234" spans="1:15" x14ac:dyDescent="0.25">
      <c r="A234" t="s">
        <v>1307</v>
      </c>
      <c r="B234" t="s">
        <v>1300</v>
      </c>
      <c r="C234" t="s">
        <v>1304</v>
      </c>
      <c r="D234" t="s">
        <v>43</v>
      </c>
      <c r="E234">
        <v>3399648</v>
      </c>
      <c r="F234" t="s">
        <v>44</v>
      </c>
      <c r="G234" t="s">
        <v>1303</v>
      </c>
      <c r="H234" t="str">
        <f t="shared" si="6"/>
        <v>0926/2019</v>
      </c>
      <c r="I234" t="s">
        <v>2410</v>
      </c>
      <c r="K234" t="s">
        <v>1513</v>
      </c>
      <c r="L234" t="s">
        <v>1305</v>
      </c>
      <c r="M234" t="str">
        <f t="shared" si="7"/>
        <v>projectCollections</v>
      </c>
      <c r="N234" t="s">
        <v>1299</v>
      </c>
      <c r="O234" t="s">
        <v>1306</v>
      </c>
    </row>
    <row r="235" spans="1:15" x14ac:dyDescent="0.25">
      <c r="A235" t="s">
        <v>1522</v>
      </c>
      <c r="B235" t="s">
        <v>1519</v>
      </c>
      <c r="C235" t="s">
        <v>1521</v>
      </c>
      <c r="D235" t="s">
        <v>43</v>
      </c>
      <c r="E235">
        <v>3399649</v>
      </c>
      <c r="F235" t="s">
        <v>44</v>
      </c>
      <c r="G235" t="s">
        <v>1520</v>
      </c>
      <c r="H235" t="str">
        <f t="shared" si="6"/>
        <v>0926/2019</v>
      </c>
      <c r="I235" t="s">
        <v>2410</v>
      </c>
      <c r="K235" t="s">
        <v>1308</v>
      </c>
      <c r="L235" t="s">
        <v>1305</v>
      </c>
      <c r="M235" t="str">
        <f t="shared" si="7"/>
        <v>projectCollections</v>
      </c>
      <c r="N235" t="s">
        <v>1299</v>
      </c>
      <c r="O235" t="s">
        <v>1306</v>
      </c>
    </row>
    <row r="236" spans="1:15" x14ac:dyDescent="0.25">
      <c r="A236" t="s">
        <v>1526</v>
      </c>
      <c r="B236" t="s">
        <v>1523</v>
      </c>
      <c r="C236" t="s">
        <v>1525</v>
      </c>
      <c r="D236" t="s">
        <v>43</v>
      </c>
      <c r="E236">
        <v>3399650</v>
      </c>
      <c r="F236" t="s">
        <v>44</v>
      </c>
      <c r="G236" t="s">
        <v>1524</v>
      </c>
      <c r="H236" t="str">
        <f t="shared" si="6"/>
        <v>0926/2019</v>
      </c>
      <c r="I236" t="s">
        <v>2410</v>
      </c>
      <c r="L236" t="s">
        <v>1305</v>
      </c>
      <c r="M236" t="str">
        <f t="shared" si="7"/>
        <v>projectCollections</v>
      </c>
      <c r="N236" t="s">
        <v>1299</v>
      </c>
      <c r="O236" t="s">
        <v>1306</v>
      </c>
    </row>
    <row r="237" spans="1:15" x14ac:dyDescent="0.25">
      <c r="A237" t="s">
        <v>1530</v>
      </c>
      <c r="B237" t="s">
        <v>1527</v>
      </c>
      <c r="C237" t="s">
        <v>1529</v>
      </c>
      <c r="D237" t="s">
        <v>43</v>
      </c>
      <c r="E237">
        <v>3399651</v>
      </c>
      <c r="F237" t="s">
        <v>44</v>
      </c>
      <c r="G237" t="s">
        <v>1528</v>
      </c>
      <c r="H237" t="str">
        <f t="shared" si="6"/>
        <v>0926/2019</v>
      </c>
      <c r="I237" t="s">
        <v>2410</v>
      </c>
      <c r="L237" t="s">
        <v>1305</v>
      </c>
      <c r="M237" t="str">
        <f t="shared" si="7"/>
        <v>projectCollections</v>
      </c>
      <c r="N237" t="s">
        <v>1299</v>
      </c>
      <c r="O237" t="s">
        <v>1306</v>
      </c>
    </row>
    <row r="238" spans="1:15" x14ac:dyDescent="0.25">
      <c r="A238" t="s">
        <v>1533</v>
      </c>
      <c r="B238" t="s">
        <v>4</v>
      </c>
      <c r="C238" t="s">
        <v>1532</v>
      </c>
      <c r="D238" t="s">
        <v>43</v>
      </c>
      <c r="E238">
        <v>3399652</v>
      </c>
      <c r="F238" t="s">
        <v>44</v>
      </c>
      <c r="G238" t="s">
        <v>1531</v>
      </c>
      <c r="H238" t="str">
        <f t="shared" si="6"/>
        <v>0926/2019</v>
      </c>
      <c r="I238" t="s">
        <v>2410</v>
      </c>
      <c r="L238" t="s">
        <v>1305</v>
      </c>
      <c r="M238" t="str">
        <f t="shared" si="7"/>
        <v>projectCollections</v>
      </c>
      <c r="N238" t="s">
        <v>1299</v>
      </c>
      <c r="O238" t="s">
        <v>1306</v>
      </c>
    </row>
    <row r="239" spans="1:15" x14ac:dyDescent="0.25">
      <c r="A239" t="s">
        <v>1538</v>
      </c>
      <c r="B239" t="s">
        <v>1535</v>
      </c>
      <c r="C239" t="s">
        <v>1537</v>
      </c>
      <c r="D239" t="s">
        <v>43</v>
      </c>
      <c r="E239">
        <v>3399653</v>
      </c>
      <c r="F239" t="s">
        <v>44</v>
      </c>
      <c r="G239" t="s">
        <v>1536</v>
      </c>
      <c r="H239" t="str">
        <f t="shared" si="6"/>
        <v>0926/2019</v>
      </c>
      <c r="I239" t="s">
        <v>2410</v>
      </c>
      <c r="K239" t="s">
        <v>1534</v>
      </c>
      <c r="L239" t="s">
        <v>1305</v>
      </c>
      <c r="M239" t="str">
        <f t="shared" si="7"/>
        <v>projectCollections</v>
      </c>
      <c r="N239" t="s">
        <v>1299</v>
      </c>
      <c r="O239" t="s">
        <v>1306</v>
      </c>
    </row>
    <row r="240" spans="1:15" x14ac:dyDescent="0.25">
      <c r="A240" t="s">
        <v>1542</v>
      </c>
      <c r="B240" t="s">
        <v>1539</v>
      </c>
      <c r="C240" t="s">
        <v>1541</v>
      </c>
      <c r="D240" t="s">
        <v>43</v>
      </c>
      <c r="E240">
        <v>3399654</v>
      </c>
      <c r="F240" t="s">
        <v>44</v>
      </c>
      <c r="G240" t="s">
        <v>1540</v>
      </c>
      <c r="H240" t="str">
        <f t="shared" si="6"/>
        <v>0926/2019</v>
      </c>
      <c r="I240" t="s">
        <v>2410</v>
      </c>
      <c r="L240" t="s">
        <v>1305</v>
      </c>
      <c r="M240" t="str">
        <f t="shared" si="7"/>
        <v>projectCollections</v>
      </c>
      <c r="N240" t="s">
        <v>1299</v>
      </c>
      <c r="O240" t="s">
        <v>1306</v>
      </c>
    </row>
    <row r="241" spans="1:15" x14ac:dyDescent="0.25">
      <c r="A241" t="s">
        <v>1547</v>
      </c>
      <c r="B241" t="s">
        <v>1544</v>
      </c>
      <c r="C241" t="s">
        <v>1546</v>
      </c>
      <c r="D241" t="s">
        <v>43</v>
      </c>
      <c r="E241">
        <v>3399655</v>
      </c>
      <c r="F241" t="s">
        <v>44</v>
      </c>
      <c r="G241" t="s">
        <v>1545</v>
      </c>
      <c r="H241" t="str">
        <f t="shared" si="6"/>
        <v>0926/2019</v>
      </c>
      <c r="I241" t="s">
        <v>2410</v>
      </c>
      <c r="K241" t="s">
        <v>1543</v>
      </c>
      <c r="L241" t="s">
        <v>1305</v>
      </c>
      <c r="M241" t="str">
        <f t="shared" si="7"/>
        <v>projectCollections</v>
      </c>
      <c r="N241" t="s">
        <v>1299</v>
      </c>
      <c r="O241" t="s">
        <v>1306</v>
      </c>
    </row>
    <row r="242" spans="1:15" x14ac:dyDescent="0.25">
      <c r="A242" t="s">
        <v>1316</v>
      </c>
      <c r="B242" t="s">
        <v>1312</v>
      </c>
      <c r="C242" t="s">
        <v>1315</v>
      </c>
      <c r="D242" t="s">
        <v>43</v>
      </c>
      <c r="E242">
        <v>3399656</v>
      </c>
      <c r="F242" t="s">
        <v>44</v>
      </c>
      <c r="G242" t="s">
        <v>1314</v>
      </c>
      <c r="H242" t="str">
        <f t="shared" si="6"/>
        <v>0926/2019</v>
      </c>
      <c r="I242" t="s">
        <v>2410</v>
      </c>
      <c r="K242" t="s">
        <v>1548</v>
      </c>
      <c r="L242" t="s">
        <v>1305</v>
      </c>
      <c r="M242" t="str">
        <f t="shared" si="7"/>
        <v>projectCollections</v>
      </c>
      <c r="N242" t="s">
        <v>1299</v>
      </c>
      <c r="O242" t="s">
        <v>1306</v>
      </c>
    </row>
    <row r="243" spans="1:15" x14ac:dyDescent="0.25">
      <c r="A243" t="s">
        <v>1355</v>
      </c>
      <c r="B243" t="s">
        <v>1351</v>
      </c>
      <c r="C243" t="s">
        <v>1354</v>
      </c>
      <c r="D243" t="s">
        <v>43</v>
      </c>
      <c r="E243">
        <v>3399657</v>
      </c>
      <c r="F243" t="s">
        <v>44</v>
      </c>
      <c r="G243" t="s">
        <v>1353</v>
      </c>
      <c r="H243" t="str">
        <f t="shared" si="6"/>
        <v>0926/2019</v>
      </c>
      <c r="I243" t="s">
        <v>2410</v>
      </c>
      <c r="L243" t="s">
        <v>1305</v>
      </c>
      <c r="M243" t="str">
        <f t="shared" si="7"/>
        <v>projectCollections</v>
      </c>
      <c r="N243" t="s">
        <v>1299</v>
      </c>
      <c r="O243" t="s">
        <v>1306</v>
      </c>
    </row>
    <row r="244" spans="1:15" x14ac:dyDescent="0.25">
      <c r="A244" t="s">
        <v>1662</v>
      </c>
      <c r="B244" t="s">
        <v>1657</v>
      </c>
      <c r="C244" t="s">
        <v>1659</v>
      </c>
      <c r="D244" t="s">
        <v>43</v>
      </c>
      <c r="E244">
        <v>374477</v>
      </c>
      <c r="F244" t="s">
        <v>44</v>
      </c>
      <c r="G244" t="s">
        <v>1658</v>
      </c>
      <c r="H244" t="str">
        <f t="shared" si="6"/>
        <v>0926/2019</v>
      </c>
      <c r="I244" t="s">
        <v>2410</v>
      </c>
      <c r="L244" t="s">
        <v>1660</v>
      </c>
      <c r="M244" t="str">
        <f t="shared" si="7"/>
        <v>projectCollections</v>
      </c>
      <c r="N244" t="s">
        <v>1656</v>
      </c>
      <c r="O244" t="s">
        <v>1661</v>
      </c>
    </row>
    <row r="245" spans="1:15" x14ac:dyDescent="0.25">
      <c r="A245" t="s">
        <v>1667</v>
      </c>
      <c r="B245" t="s">
        <v>1664</v>
      </c>
      <c r="C245" t="s">
        <v>1666</v>
      </c>
      <c r="D245" t="s">
        <v>43</v>
      </c>
      <c r="E245">
        <v>374478</v>
      </c>
      <c r="F245" t="s">
        <v>44</v>
      </c>
      <c r="G245" t="s">
        <v>1665</v>
      </c>
      <c r="H245" t="str">
        <f t="shared" si="6"/>
        <v>0926/2019</v>
      </c>
      <c r="I245" t="s">
        <v>2410</v>
      </c>
      <c r="K245" t="s">
        <v>1663</v>
      </c>
      <c r="L245" t="s">
        <v>1660</v>
      </c>
      <c r="M245" t="str">
        <f t="shared" si="7"/>
        <v>projectCollections</v>
      </c>
      <c r="N245" t="s">
        <v>1656</v>
      </c>
      <c r="O245" t="s">
        <v>1661</v>
      </c>
    </row>
    <row r="246" spans="1:15" x14ac:dyDescent="0.25">
      <c r="A246" t="s">
        <v>958</v>
      </c>
      <c r="B246" t="s">
        <v>953</v>
      </c>
      <c r="C246" t="s">
        <v>957</v>
      </c>
      <c r="D246" t="s">
        <v>43</v>
      </c>
      <c r="E246">
        <v>2255533</v>
      </c>
      <c r="F246" t="s">
        <v>44</v>
      </c>
      <c r="G246" t="s">
        <v>956</v>
      </c>
      <c r="H246" t="str">
        <f t="shared" si="6"/>
        <v>0330/2020</v>
      </c>
      <c r="I246" t="s">
        <v>2466</v>
      </c>
      <c r="L246" t="s">
        <v>869</v>
      </c>
      <c r="M246" t="str">
        <f t="shared" si="7"/>
        <v>projectCollections</v>
      </c>
      <c r="N246" t="s">
        <v>862</v>
      </c>
      <c r="O246" t="s">
        <v>870</v>
      </c>
    </row>
    <row r="247" spans="1:15" x14ac:dyDescent="0.25">
      <c r="A247" t="s">
        <v>994</v>
      </c>
      <c r="B247" t="s">
        <v>989</v>
      </c>
      <c r="C247" t="s">
        <v>993</v>
      </c>
      <c r="D247" t="s">
        <v>43</v>
      </c>
      <c r="E247">
        <v>2255523</v>
      </c>
      <c r="F247" t="s">
        <v>44</v>
      </c>
      <c r="G247" t="s">
        <v>992</v>
      </c>
      <c r="H247" t="str">
        <f t="shared" si="6"/>
        <v>1105/2019</v>
      </c>
      <c r="I247" t="s">
        <v>2467</v>
      </c>
      <c r="L247" t="s">
        <v>869</v>
      </c>
      <c r="M247" t="str">
        <f t="shared" si="7"/>
        <v>projectCollections</v>
      </c>
      <c r="N247" t="s">
        <v>862</v>
      </c>
      <c r="O247" t="s">
        <v>870</v>
      </c>
    </row>
    <row r="248" spans="1:15" x14ac:dyDescent="0.25">
      <c r="A248" t="s">
        <v>877</v>
      </c>
      <c r="B248" t="s">
        <v>873</v>
      </c>
      <c r="C248" t="s">
        <v>876</v>
      </c>
      <c r="D248" t="s">
        <v>43</v>
      </c>
      <c r="E248">
        <v>2255607</v>
      </c>
      <c r="F248" t="s">
        <v>44</v>
      </c>
      <c r="G248" t="s">
        <v>875</v>
      </c>
      <c r="H248" t="str">
        <f t="shared" si="6"/>
        <v>0518/2021</v>
      </c>
      <c r="I248" t="s">
        <v>2468</v>
      </c>
      <c r="L248" t="s">
        <v>869</v>
      </c>
      <c r="M248" t="str">
        <f t="shared" si="7"/>
        <v>projectCollections</v>
      </c>
      <c r="N248" t="s">
        <v>862</v>
      </c>
      <c r="O248" t="s">
        <v>870</v>
      </c>
    </row>
    <row r="249" spans="1:15" x14ac:dyDescent="0.25">
      <c r="A249" t="s">
        <v>968</v>
      </c>
      <c r="B249" t="s">
        <v>963</v>
      </c>
      <c r="C249" t="s">
        <v>967</v>
      </c>
      <c r="D249" t="s">
        <v>43</v>
      </c>
      <c r="E249">
        <v>2255543</v>
      </c>
      <c r="F249" t="s">
        <v>44</v>
      </c>
      <c r="G249" t="s">
        <v>966</v>
      </c>
      <c r="H249" t="str">
        <f t="shared" si="6"/>
        <v>0625/2020</v>
      </c>
      <c r="I249" t="s">
        <v>2469</v>
      </c>
      <c r="K249" t="s">
        <v>878</v>
      </c>
      <c r="L249" t="s">
        <v>869</v>
      </c>
      <c r="M249" t="str">
        <f t="shared" si="7"/>
        <v>projectCollections</v>
      </c>
      <c r="N249" t="s">
        <v>862</v>
      </c>
      <c r="O249" t="s">
        <v>870</v>
      </c>
    </row>
    <row r="250" spans="1:15" x14ac:dyDescent="0.25">
      <c r="A250" t="s">
        <v>999</v>
      </c>
      <c r="B250" t="s">
        <v>969</v>
      </c>
      <c r="C250" t="s">
        <v>998</v>
      </c>
      <c r="D250" t="s">
        <v>43</v>
      </c>
      <c r="E250">
        <v>2255496</v>
      </c>
      <c r="F250" t="s">
        <v>44</v>
      </c>
      <c r="G250" t="s">
        <v>997</v>
      </c>
      <c r="H250" t="str">
        <f t="shared" si="6"/>
        <v>1023/2019</v>
      </c>
      <c r="I250" t="s">
        <v>2470</v>
      </c>
      <c r="K250" t="s">
        <v>969</v>
      </c>
      <c r="L250" t="s">
        <v>869</v>
      </c>
      <c r="M250" t="str">
        <f t="shared" si="7"/>
        <v>projectCollections</v>
      </c>
      <c r="N250" t="s">
        <v>862</v>
      </c>
      <c r="O250" t="s">
        <v>870</v>
      </c>
    </row>
    <row r="251" spans="1:15" x14ac:dyDescent="0.25">
      <c r="A251" t="s">
        <v>1019</v>
      </c>
      <c r="B251" t="s">
        <v>1016</v>
      </c>
      <c r="C251" t="s">
        <v>1018</v>
      </c>
      <c r="D251" t="s">
        <v>43</v>
      </c>
      <c r="E251">
        <v>2255451</v>
      </c>
      <c r="F251" t="s">
        <v>44</v>
      </c>
      <c r="G251" t="s">
        <v>1017</v>
      </c>
      <c r="H251" t="str">
        <f t="shared" si="6"/>
        <v>0926/2019</v>
      </c>
      <c r="I251" t="s">
        <v>2410</v>
      </c>
      <c r="K251" t="s">
        <v>1000</v>
      </c>
      <c r="L251" t="s">
        <v>869</v>
      </c>
      <c r="M251" t="str">
        <f t="shared" si="7"/>
        <v>projectCollections</v>
      </c>
      <c r="N251" t="s">
        <v>862</v>
      </c>
      <c r="O251" t="s">
        <v>870</v>
      </c>
    </row>
    <row r="252" spans="1:15" x14ac:dyDescent="0.25">
      <c r="A252" t="s">
        <v>973</v>
      </c>
      <c r="B252" t="s">
        <v>970</v>
      </c>
      <c r="C252" t="s">
        <v>972</v>
      </c>
      <c r="D252" t="s">
        <v>43</v>
      </c>
      <c r="E252">
        <v>2255570</v>
      </c>
      <c r="F252" t="s">
        <v>44</v>
      </c>
      <c r="G252" t="s">
        <v>971</v>
      </c>
      <c r="H252" t="str">
        <f t="shared" si="6"/>
        <v>0625/2020</v>
      </c>
      <c r="I252" t="s">
        <v>2469</v>
      </c>
      <c r="K252" t="s">
        <v>1020</v>
      </c>
      <c r="L252" t="s">
        <v>869</v>
      </c>
      <c r="M252" t="str">
        <f t="shared" si="7"/>
        <v>projectCollections</v>
      </c>
      <c r="N252" t="s">
        <v>862</v>
      </c>
      <c r="O252" t="s">
        <v>870</v>
      </c>
    </row>
    <row r="253" spans="1:15" x14ac:dyDescent="0.25">
      <c r="A253" t="s">
        <v>1005</v>
      </c>
      <c r="B253" t="s">
        <v>1001</v>
      </c>
      <c r="C253" t="s">
        <v>1004</v>
      </c>
      <c r="D253" t="s">
        <v>43</v>
      </c>
      <c r="E253">
        <v>2255505</v>
      </c>
      <c r="F253" t="s">
        <v>44</v>
      </c>
      <c r="G253" t="s">
        <v>1003</v>
      </c>
      <c r="H253" t="str">
        <f t="shared" si="6"/>
        <v>1023/2019</v>
      </c>
      <c r="I253" t="s">
        <v>2470</v>
      </c>
      <c r="K253" t="s">
        <v>974</v>
      </c>
      <c r="L253" t="s">
        <v>869</v>
      </c>
      <c r="M253" t="str">
        <f t="shared" si="7"/>
        <v>projectCollections</v>
      </c>
      <c r="N253" t="s">
        <v>862</v>
      </c>
      <c r="O253" t="s">
        <v>870</v>
      </c>
    </row>
    <row r="254" spans="1:15" x14ac:dyDescent="0.25">
      <c r="A254" t="s">
        <v>871</v>
      </c>
      <c r="B254" t="s">
        <v>863</v>
      </c>
      <c r="C254" t="s">
        <v>868</v>
      </c>
      <c r="D254" t="s">
        <v>43</v>
      </c>
      <c r="E254">
        <v>2255630</v>
      </c>
      <c r="F254" t="s">
        <v>44</v>
      </c>
      <c r="G254" t="s">
        <v>867</v>
      </c>
      <c r="H254" t="str">
        <f t="shared" si="6"/>
        <v>0619/2023</v>
      </c>
      <c r="I254" t="s">
        <v>2471</v>
      </c>
      <c r="K254" t="s">
        <v>1006</v>
      </c>
      <c r="L254" t="s">
        <v>869</v>
      </c>
      <c r="M254" t="str">
        <f t="shared" si="7"/>
        <v>projectCollections</v>
      </c>
      <c r="N254" t="s">
        <v>862</v>
      </c>
      <c r="O254" t="s">
        <v>870</v>
      </c>
    </row>
    <row r="255" spans="1:15" x14ac:dyDescent="0.25">
      <c r="A255" t="s">
        <v>903</v>
      </c>
      <c r="B255" t="s">
        <v>899</v>
      </c>
      <c r="C255" t="s">
        <v>902</v>
      </c>
      <c r="D255" t="s">
        <v>43</v>
      </c>
      <c r="E255">
        <v>2255453</v>
      </c>
      <c r="F255" t="s">
        <v>44</v>
      </c>
      <c r="G255" t="s">
        <v>901</v>
      </c>
      <c r="H255" t="str">
        <f t="shared" si="6"/>
        <v>0926/2019</v>
      </c>
      <c r="I255" t="s">
        <v>2410</v>
      </c>
      <c r="K255" t="s">
        <v>872</v>
      </c>
      <c r="L255" t="s">
        <v>869</v>
      </c>
      <c r="M255" t="str">
        <f t="shared" si="7"/>
        <v>projectCollections</v>
      </c>
      <c r="N255" t="s">
        <v>862</v>
      </c>
      <c r="O255" t="s">
        <v>870</v>
      </c>
    </row>
    <row r="256" spans="1:15" x14ac:dyDescent="0.25">
      <c r="A256" t="s">
        <v>911</v>
      </c>
      <c r="B256" t="s">
        <v>904</v>
      </c>
      <c r="C256" t="s">
        <v>910</v>
      </c>
      <c r="D256" t="s">
        <v>43</v>
      </c>
      <c r="E256">
        <v>2255454</v>
      </c>
      <c r="F256" t="s">
        <v>44</v>
      </c>
      <c r="G256" t="s">
        <v>909</v>
      </c>
      <c r="H256" t="str">
        <f t="shared" si="6"/>
        <v>0926/2019</v>
      </c>
      <c r="I256" t="s">
        <v>2410</v>
      </c>
      <c r="L256" t="s">
        <v>869</v>
      </c>
      <c r="M256" t="str">
        <f t="shared" si="7"/>
        <v>projectCollections</v>
      </c>
      <c r="N256" t="s">
        <v>862</v>
      </c>
      <c r="O256" t="s">
        <v>870</v>
      </c>
    </row>
    <row r="257" spans="1:15" x14ac:dyDescent="0.25">
      <c r="A257" t="s">
        <v>914</v>
      </c>
      <c r="B257" t="s">
        <v>517</v>
      </c>
      <c r="C257" t="s">
        <v>913</v>
      </c>
      <c r="D257" t="s">
        <v>43</v>
      </c>
      <c r="E257">
        <v>2255455</v>
      </c>
      <c r="F257" t="s">
        <v>44</v>
      </c>
      <c r="G257" t="s">
        <v>912</v>
      </c>
      <c r="H257" t="str">
        <f t="shared" si="6"/>
        <v>0926/2019</v>
      </c>
      <c r="I257" t="s">
        <v>2410</v>
      </c>
      <c r="L257" t="s">
        <v>869</v>
      </c>
      <c r="M257" t="str">
        <f t="shared" si="7"/>
        <v>projectCollections</v>
      </c>
      <c r="N257" t="s">
        <v>862</v>
      </c>
      <c r="O257" t="s">
        <v>870</v>
      </c>
    </row>
    <row r="258" spans="1:15" x14ac:dyDescent="0.25">
      <c r="A258" t="s">
        <v>933</v>
      </c>
      <c r="B258" t="s">
        <v>928</v>
      </c>
      <c r="C258" t="s">
        <v>932</v>
      </c>
      <c r="D258" t="s">
        <v>43</v>
      </c>
      <c r="E258">
        <v>2255618</v>
      </c>
      <c r="F258" t="s">
        <v>44</v>
      </c>
      <c r="G258" t="s">
        <v>931</v>
      </c>
      <c r="H258" t="str">
        <f t="shared" ref="H258:H321" si="8">TEXT(DATEVALUE(LEFT(G258,10)),"MMDD/YYYY")</f>
        <v>1118/2021</v>
      </c>
      <c r="I258" t="s">
        <v>2472</v>
      </c>
      <c r="K258" t="s">
        <v>915</v>
      </c>
      <c r="L258" t="s">
        <v>869</v>
      </c>
      <c r="M258" t="str">
        <f t="shared" ref="M258:M321" si="9">MID(L258, 33, 18)</f>
        <v>projectCollections</v>
      </c>
      <c r="N258" t="s">
        <v>862</v>
      </c>
      <c r="O258" t="s">
        <v>870</v>
      </c>
    </row>
    <row r="259" spans="1:15" x14ac:dyDescent="0.25">
      <c r="A259" t="s">
        <v>889</v>
      </c>
      <c r="B259" t="s">
        <v>122</v>
      </c>
      <c r="C259" t="s">
        <v>888</v>
      </c>
      <c r="D259" t="s">
        <v>43</v>
      </c>
      <c r="E259">
        <v>2255631</v>
      </c>
      <c r="F259" t="s">
        <v>44</v>
      </c>
      <c r="G259" t="s">
        <v>887</v>
      </c>
      <c r="H259" t="str">
        <f t="shared" si="8"/>
        <v>1002/2023</v>
      </c>
      <c r="I259" t="s">
        <v>2473</v>
      </c>
      <c r="K259" t="s">
        <v>934</v>
      </c>
      <c r="L259" t="s">
        <v>869</v>
      </c>
      <c r="M259" t="str">
        <f t="shared" si="9"/>
        <v>projectCollections</v>
      </c>
      <c r="N259" t="s">
        <v>862</v>
      </c>
      <c r="O259" t="s">
        <v>870</v>
      </c>
    </row>
    <row r="260" spans="1:15" x14ac:dyDescent="0.25">
      <c r="A260" t="s">
        <v>921</v>
      </c>
      <c r="B260" t="s">
        <v>916</v>
      </c>
      <c r="C260" t="s">
        <v>920</v>
      </c>
      <c r="D260" t="s">
        <v>43</v>
      </c>
      <c r="E260">
        <v>2255456</v>
      </c>
      <c r="F260" t="s">
        <v>44</v>
      </c>
      <c r="G260" t="s">
        <v>919</v>
      </c>
      <c r="H260" t="str">
        <f t="shared" si="8"/>
        <v>0926/2019</v>
      </c>
      <c r="I260" t="s">
        <v>2410</v>
      </c>
      <c r="K260" t="s">
        <v>890</v>
      </c>
      <c r="L260" t="s">
        <v>869</v>
      </c>
      <c r="M260" t="str">
        <f t="shared" si="9"/>
        <v>projectCollections</v>
      </c>
      <c r="N260" t="s">
        <v>862</v>
      </c>
      <c r="O260" t="s">
        <v>870</v>
      </c>
    </row>
    <row r="261" spans="1:15" x14ac:dyDescent="0.25">
      <c r="A261" t="s">
        <v>1126</v>
      </c>
      <c r="B261" t="s">
        <v>1123</v>
      </c>
      <c r="C261" t="s">
        <v>1125</v>
      </c>
      <c r="D261" t="s">
        <v>43</v>
      </c>
      <c r="E261">
        <v>2255514</v>
      </c>
      <c r="F261" t="s">
        <v>44</v>
      </c>
      <c r="G261" t="s">
        <v>1124</v>
      </c>
      <c r="H261" t="str">
        <f t="shared" si="8"/>
        <v>1105/2019</v>
      </c>
      <c r="I261" t="s">
        <v>2467</v>
      </c>
      <c r="L261" t="s">
        <v>869</v>
      </c>
      <c r="M261" t="str">
        <f t="shared" si="9"/>
        <v>projectCollections</v>
      </c>
      <c r="N261" t="s">
        <v>862</v>
      </c>
      <c r="O261" t="s">
        <v>870</v>
      </c>
    </row>
    <row r="262" spans="1:15" x14ac:dyDescent="0.25">
      <c r="A262" t="s">
        <v>926</v>
      </c>
      <c r="B262" t="s">
        <v>922</v>
      </c>
      <c r="C262" t="s">
        <v>925</v>
      </c>
      <c r="D262" t="s">
        <v>43</v>
      </c>
      <c r="E262">
        <v>2255457</v>
      </c>
      <c r="F262" t="s">
        <v>44</v>
      </c>
      <c r="G262" t="s">
        <v>924</v>
      </c>
      <c r="H262" t="str">
        <f t="shared" si="8"/>
        <v>0926/2019</v>
      </c>
      <c r="I262" t="s">
        <v>2410</v>
      </c>
      <c r="K262" t="s">
        <v>1127</v>
      </c>
      <c r="L262" t="s">
        <v>869</v>
      </c>
      <c r="M262" t="str">
        <f t="shared" si="9"/>
        <v>projectCollections</v>
      </c>
      <c r="N262" t="s">
        <v>862</v>
      </c>
      <c r="O262" t="s">
        <v>870</v>
      </c>
    </row>
    <row r="263" spans="1:15" x14ac:dyDescent="0.25">
      <c r="A263" t="s">
        <v>1130</v>
      </c>
      <c r="B263" t="s">
        <v>927</v>
      </c>
      <c r="C263" t="s">
        <v>1129</v>
      </c>
      <c r="D263" t="s">
        <v>43</v>
      </c>
      <c r="E263">
        <v>2255478</v>
      </c>
      <c r="F263" t="s">
        <v>44</v>
      </c>
      <c r="G263" t="s">
        <v>1128</v>
      </c>
      <c r="H263" t="str">
        <f t="shared" si="8"/>
        <v>1023/2019</v>
      </c>
      <c r="I263" t="s">
        <v>2470</v>
      </c>
      <c r="K263" t="s">
        <v>927</v>
      </c>
      <c r="L263" t="s">
        <v>869</v>
      </c>
      <c r="M263" t="str">
        <f t="shared" si="9"/>
        <v>projectCollections</v>
      </c>
      <c r="N263" t="s">
        <v>862</v>
      </c>
      <c r="O263" t="s">
        <v>870</v>
      </c>
    </row>
    <row r="264" spans="1:15" x14ac:dyDescent="0.25">
      <c r="A264" t="s">
        <v>952</v>
      </c>
      <c r="B264" t="s">
        <v>949</v>
      </c>
      <c r="C264" t="s">
        <v>951</v>
      </c>
      <c r="D264" t="s">
        <v>43</v>
      </c>
      <c r="E264">
        <v>2255458</v>
      </c>
      <c r="F264" t="s">
        <v>44</v>
      </c>
      <c r="G264" t="s">
        <v>950</v>
      </c>
      <c r="H264" t="str">
        <f t="shared" si="8"/>
        <v>0926/2019</v>
      </c>
      <c r="I264" t="s">
        <v>2410</v>
      </c>
      <c r="L264" t="s">
        <v>869</v>
      </c>
      <c r="M264" t="str">
        <f t="shared" si="9"/>
        <v>projectCollections</v>
      </c>
      <c r="N264" t="s">
        <v>862</v>
      </c>
      <c r="O264" t="s">
        <v>870</v>
      </c>
    </row>
    <row r="265" spans="1:15" x14ac:dyDescent="0.25">
      <c r="A265" t="s">
        <v>947</v>
      </c>
      <c r="B265" t="s">
        <v>942</v>
      </c>
      <c r="C265" t="s">
        <v>946</v>
      </c>
      <c r="D265" t="s">
        <v>43</v>
      </c>
      <c r="E265">
        <v>2255616</v>
      </c>
      <c r="F265" t="s">
        <v>44</v>
      </c>
      <c r="G265" t="s">
        <v>945</v>
      </c>
      <c r="H265" t="str">
        <f t="shared" si="8"/>
        <v>0617/2021</v>
      </c>
      <c r="I265" t="s">
        <v>2474</v>
      </c>
      <c r="L265" t="s">
        <v>869</v>
      </c>
      <c r="M265" t="str">
        <f t="shared" si="9"/>
        <v>projectCollections</v>
      </c>
      <c r="N265" t="s">
        <v>862</v>
      </c>
      <c r="O265" t="s">
        <v>870</v>
      </c>
    </row>
    <row r="266" spans="1:15" x14ac:dyDescent="0.25">
      <c r="A266" t="s">
        <v>940</v>
      </c>
      <c r="B266" t="s">
        <v>935</v>
      </c>
      <c r="C266" t="s">
        <v>939</v>
      </c>
      <c r="D266" t="s">
        <v>43</v>
      </c>
      <c r="E266">
        <v>2255459</v>
      </c>
      <c r="F266" t="s">
        <v>44</v>
      </c>
      <c r="G266" t="s">
        <v>938</v>
      </c>
      <c r="H266" t="str">
        <f t="shared" si="8"/>
        <v>0926/2019</v>
      </c>
      <c r="I266" t="s">
        <v>2410</v>
      </c>
      <c r="K266" t="s">
        <v>948</v>
      </c>
      <c r="L266" t="s">
        <v>869</v>
      </c>
      <c r="M266" t="str">
        <f t="shared" si="9"/>
        <v>projectCollections</v>
      </c>
      <c r="N266" t="s">
        <v>862</v>
      </c>
      <c r="O266" t="s">
        <v>870</v>
      </c>
    </row>
    <row r="267" spans="1:15" x14ac:dyDescent="0.25">
      <c r="A267" t="s">
        <v>962</v>
      </c>
      <c r="B267" t="s">
        <v>959</v>
      </c>
      <c r="C267" t="s">
        <v>961</v>
      </c>
      <c r="D267" t="s">
        <v>43</v>
      </c>
      <c r="E267">
        <v>2255460</v>
      </c>
      <c r="F267" t="s">
        <v>44</v>
      </c>
      <c r="G267" t="s">
        <v>960</v>
      </c>
      <c r="H267" t="str">
        <f t="shared" si="8"/>
        <v>0926/2019</v>
      </c>
      <c r="I267" t="s">
        <v>2410</v>
      </c>
      <c r="K267" t="s">
        <v>941</v>
      </c>
      <c r="L267" t="s">
        <v>869</v>
      </c>
      <c r="M267" t="str">
        <f t="shared" si="9"/>
        <v>projectCollections</v>
      </c>
      <c r="N267" t="s">
        <v>862</v>
      </c>
      <c r="O267" t="s">
        <v>870</v>
      </c>
    </row>
    <row r="268" spans="1:15" x14ac:dyDescent="0.25">
      <c r="A268" t="s">
        <v>978</v>
      </c>
      <c r="B268" t="s">
        <v>975</v>
      </c>
      <c r="C268" t="s">
        <v>977</v>
      </c>
      <c r="D268" t="s">
        <v>43</v>
      </c>
      <c r="E268">
        <v>2255561</v>
      </c>
      <c r="F268" t="s">
        <v>44</v>
      </c>
      <c r="G268" t="s">
        <v>976</v>
      </c>
      <c r="H268" t="str">
        <f t="shared" si="8"/>
        <v>0625/2020</v>
      </c>
      <c r="I268" t="s">
        <v>2469</v>
      </c>
      <c r="K268" t="s">
        <v>878</v>
      </c>
      <c r="L268" t="s">
        <v>869</v>
      </c>
      <c r="M268" t="str">
        <f t="shared" si="9"/>
        <v>projectCollections</v>
      </c>
      <c r="N268" t="s">
        <v>862</v>
      </c>
      <c r="O268" t="s">
        <v>870</v>
      </c>
    </row>
    <row r="269" spans="1:15" x14ac:dyDescent="0.25">
      <c r="A269" t="s">
        <v>1133</v>
      </c>
      <c r="B269" t="s">
        <v>979</v>
      </c>
      <c r="C269" t="s">
        <v>1132</v>
      </c>
      <c r="D269" t="s">
        <v>43</v>
      </c>
      <c r="E269">
        <v>2255487</v>
      </c>
      <c r="F269" t="s">
        <v>44</v>
      </c>
      <c r="G269" t="s">
        <v>1131</v>
      </c>
      <c r="H269" t="str">
        <f t="shared" si="8"/>
        <v>1023/2019</v>
      </c>
      <c r="I269" t="s">
        <v>2470</v>
      </c>
      <c r="K269" t="s">
        <v>979</v>
      </c>
      <c r="L269" t="s">
        <v>869</v>
      </c>
      <c r="M269" t="str">
        <f t="shared" si="9"/>
        <v>projectCollections</v>
      </c>
      <c r="N269" t="s">
        <v>862</v>
      </c>
      <c r="O269" t="s">
        <v>870</v>
      </c>
    </row>
    <row r="270" spans="1:15" x14ac:dyDescent="0.25">
      <c r="A270" t="s">
        <v>883</v>
      </c>
      <c r="B270" t="s">
        <v>879</v>
      </c>
      <c r="C270" t="s">
        <v>882</v>
      </c>
      <c r="D270" t="s">
        <v>43</v>
      </c>
      <c r="E270">
        <v>2255589</v>
      </c>
      <c r="F270" t="s">
        <v>44</v>
      </c>
      <c r="G270" t="s">
        <v>881</v>
      </c>
      <c r="H270" t="str">
        <f t="shared" si="8"/>
        <v>1022/2020</v>
      </c>
      <c r="I270" t="s">
        <v>2475</v>
      </c>
      <c r="L270" t="s">
        <v>869</v>
      </c>
      <c r="M270" t="str">
        <f t="shared" si="9"/>
        <v>projectCollections</v>
      </c>
      <c r="N270" t="s">
        <v>862</v>
      </c>
      <c r="O270" t="s">
        <v>870</v>
      </c>
    </row>
    <row r="271" spans="1:15" x14ac:dyDescent="0.25">
      <c r="A271" t="s">
        <v>897</v>
      </c>
      <c r="B271" t="s">
        <v>891</v>
      </c>
      <c r="C271" t="s">
        <v>896</v>
      </c>
      <c r="D271" t="s">
        <v>43</v>
      </c>
      <c r="E271">
        <v>2255640</v>
      </c>
      <c r="F271" t="s">
        <v>44</v>
      </c>
      <c r="G271" t="s">
        <v>895</v>
      </c>
      <c r="H271" t="str">
        <f t="shared" si="8"/>
        <v>1115/2023</v>
      </c>
      <c r="I271" t="s">
        <v>2476</v>
      </c>
      <c r="K271" t="s">
        <v>884</v>
      </c>
      <c r="L271" t="s">
        <v>869</v>
      </c>
      <c r="M271" t="str">
        <f t="shared" si="9"/>
        <v>projectCollections</v>
      </c>
      <c r="N271" t="s">
        <v>862</v>
      </c>
      <c r="O271" t="s">
        <v>870</v>
      </c>
    </row>
    <row r="272" spans="1:15" x14ac:dyDescent="0.25">
      <c r="A272" t="s">
        <v>983</v>
      </c>
      <c r="B272" t="s">
        <v>980</v>
      </c>
      <c r="C272" t="s">
        <v>982</v>
      </c>
      <c r="D272" t="s">
        <v>43</v>
      </c>
      <c r="E272">
        <v>2255524</v>
      </c>
      <c r="F272" t="s">
        <v>44</v>
      </c>
      <c r="G272" t="s">
        <v>981</v>
      </c>
      <c r="H272" t="str">
        <f t="shared" si="8"/>
        <v>0330/2020</v>
      </c>
      <c r="I272" t="s">
        <v>2466</v>
      </c>
      <c r="K272" t="s">
        <v>898</v>
      </c>
      <c r="L272" t="s">
        <v>869</v>
      </c>
      <c r="M272" t="str">
        <f t="shared" si="9"/>
        <v>projectCollections</v>
      </c>
      <c r="N272" t="s">
        <v>862</v>
      </c>
      <c r="O272" t="s">
        <v>870</v>
      </c>
    </row>
    <row r="273" spans="1:15" x14ac:dyDescent="0.25">
      <c r="A273" t="s">
        <v>988</v>
      </c>
      <c r="B273" t="s">
        <v>985</v>
      </c>
      <c r="C273" t="s">
        <v>987</v>
      </c>
      <c r="D273" t="s">
        <v>43</v>
      </c>
      <c r="E273">
        <v>2255552</v>
      </c>
      <c r="F273" t="s">
        <v>44</v>
      </c>
      <c r="G273" t="s">
        <v>986</v>
      </c>
      <c r="H273" t="str">
        <f t="shared" si="8"/>
        <v>0625/2020</v>
      </c>
      <c r="I273" t="s">
        <v>2469</v>
      </c>
      <c r="K273" t="s">
        <v>984</v>
      </c>
      <c r="L273" t="s">
        <v>869</v>
      </c>
      <c r="M273" t="str">
        <f t="shared" si="9"/>
        <v>projectCollections</v>
      </c>
      <c r="N273" t="s">
        <v>862</v>
      </c>
      <c r="O273" t="s">
        <v>870</v>
      </c>
    </row>
    <row r="274" spans="1:15" x14ac:dyDescent="0.25">
      <c r="A274" t="s">
        <v>351</v>
      </c>
      <c r="B274" t="s">
        <v>348</v>
      </c>
      <c r="C274" t="s">
        <v>350</v>
      </c>
      <c r="D274" t="s">
        <v>43</v>
      </c>
      <c r="E274">
        <v>512908</v>
      </c>
      <c r="F274" t="s">
        <v>44</v>
      </c>
      <c r="G274" t="s">
        <v>349</v>
      </c>
      <c r="H274" t="str">
        <f t="shared" si="8"/>
        <v>0926/2019</v>
      </c>
      <c r="I274" t="s">
        <v>2410</v>
      </c>
      <c r="L274" t="s">
        <v>333</v>
      </c>
      <c r="M274" t="str">
        <f t="shared" si="9"/>
        <v>projectCollections</v>
      </c>
      <c r="N274" t="s">
        <v>329</v>
      </c>
      <c r="O274" t="s">
        <v>334</v>
      </c>
    </row>
    <row r="275" spans="1:15" x14ac:dyDescent="0.25">
      <c r="A275" t="s">
        <v>335</v>
      </c>
      <c r="B275" t="s">
        <v>330</v>
      </c>
      <c r="C275" t="s">
        <v>332</v>
      </c>
      <c r="D275" t="s">
        <v>43</v>
      </c>
      <c r="E275">
        <v>512909</v>
      </c>
      <c r="F275" t="s">
        <v>44</v>
      </c>
      <c r="G275" t="s">
        <v>331</v>
      </c>
      <c r="H275" t="str">
        <f t="shared" si="8"/>
        <v>0926/2019</v>
      </c>
      <c r="I275" t="s">
        <v>2410</v>
      </c>
      <c r="K275" t="s">
        <v>352</v>
      </c>
      <c r="L275" t="s">
        <v>333</v>
      </c>
      <c r="M275" t="str">
        <f t="shared" si="9"/>
        <v>projectCollections</v>
      </c>
      <c r="N275" t="s">
        <v>329</v>
      </c>
      <c r="O275" t="s">
        <v>334</v>
      </c>
    </row>
    <row r="276" spans="1:15" x14ac:dyDescent="0.25">
      <c r="A276" t="s">
        <v>356</v>
      </c>
      <c r="B276" t="s">
        <v>353</v>
      </c>
      <c r="C276" t="s">
        <v>355</v>
      </c>
      <c r="D276" t="s">
        <v>43</v>
      </c>
      <c r="E276">
        <v>512910</v>
      </c>
      <c r="F276" t="s">
        <v>44</v>
      </c>
      <c r="G276" t="s">
        <v>354</v>
      </c>
      <c r="H276" t="str">
        <f t="shared" si="8"/>
        <v>0926/2019</v>
      </c>
      <c r="I276" t="s">
        <v>2410</v>
      </c>
      <c r="L276" t="s">
        <v>333</v>
      </c>
      <c r="M276" t="str">
        <f t="shared" si="9"/>
        <v>projectCollections</v>
      </c>
      <c r="N276" t="s">
        <v>329</v>
      </c>
      <c r="O276" t="s">
        <v>334</v>
      </c>
    </row>
    <row r="277" spans="1:15" x14ac:dyDescent="0.25">
      <c r="A277" t="s">
        <v>339</v>
      </c>
      <c r="B277" t="s">
        <v>336</v>
      </c>
      <c r="C277" t="s">
        <v>338</v>
      </c>
      <c r="D277" t="s">
        <v>43</v>
      </c>
      <c r="E277">
        <v>512911</v>
      </c>
      <c r="F277" t="s">
        <v>44</v>
      </c>
      <c r="G277" t="s">
        <v>337</v>
      </c>
      <c r="H277" t="str">
        <f t="shared" si="8"/>
        <v>0926/2019</v>
      </c>
      <c r="I277" t="s">
        <v>2410</v>
      </c>
      <c r="L277" t="s">
        <v>333</v>
      </c>
      <c r="M277" t="str">
        <f t="shared" si="9"/>
        <v>projectCollections</v>
      </c>
      <c r="N277" t="s">
        <v>329</v>
      </c>
      <c r="O277" t="s">
        <v>334</v>
      </c>
    </row>
    <row r="278" spans="1:15" x14ac:dyDescent="0.25">
      <c r="A278" t="s">
        <v>343</v>
      </c>
      <c r="B278" t="s">
        <v>340</v>
      </c>
      <c r="C278" t="s">
        <v>342</v>
      </c>
      <c r="D278" t="s">
        <v>43</v>
      </c>
      <c r="E278">
        <v>512912</v>
      </c>
      <c r="F278" t="s">
        <v>44</v>
      </c>
      <c r="G278" t="s">
        <v>341</v>
      </c>
      <c r="H278" t="str">
        <f t="shared" si="8"/>
        <v>0926/2019</v>
      </c>
      <c r="I278" t="s">
        <v>2410</v>
      </c>
      <c r="L278" t="s">
        <v>333</v>
      </c>
      <c r="M278" t="str">
        <f t="shared" si="9"/>
        <v>projectCollections</v>
      </c>
      <c r="N278" t="s">
        <v>329</v>
      </c>
      <c r="O278" t="s">
        <v>334</v>
      </c>
    </row>
    <row r="279" spans="1:15" x14ac:dyDescent="0.25">
      <c r="A279" t="s">
        <v>347</v>
      </c>
      <c r="B279" t="s">
        <v>344</v>
      </c>
      <c r="C279" t="s">
        <v>346</v>
      </c>
      <c r="D279" t="s">
        <v>43</v>
      </c>
      <c r="E279">
        <v>512913</v>
      </c>
      <c r="F279" t="s">
        <v>44</v>
      </c>
      <c r="G279" t="s">
        <v>345</v>
      </c>
      <c r="H279" t="str">
        <f t="shared" si="8"/>
        <v>0926/2019</v>
      </c>
      <c r="I279" t="s">
        <v>2410</v>
      </c>
      <c r="L279" t="s">
        <v>333</v>
      </c>
      <c r="M279" t="str">
        <f t="shared" si="9"/>
        <v>projectCollections</v>
      </c>
      <c r="N279" t="s">
        <v>329</v>
      </c>
      <c r="O279" t="s">
        <v>334</v>
      </c>
    </row>
    <row r="280" spans="1:15" x14ac:dyDescent="0.25">
      <c r="A280" t="s">
        <v>360</v>
      </c>
      <c r="B280" t="s">
        <v>357</v>
      </c>
      <c r="C280" t="s">
        <v>359</v>
      </c>
      <c r="D280" t="s">
        <v>43</v>
      </c>
      <c r="E280">
        <v>512914</v>
      </c>
      <c r="F280" t="s">
        <v>44</v>
      </c>
      <c r="G280" t="s">
        <v>358</v>
      </c>
      <c r="H280" t="str">
        <f t="shared" si="8"/>
        <v>0926/2019</v>
      </c>
      <c r="I280" t="s">
        <v>2410</v>
      </c>
      <c r="L280" t="s">
        <v>333</v>
      </c>
      <c r="M280" t="str">
        <f t="shared" si="9"/>
        <v>projectCollections</v>
      </c>
      <c r="N280" t="s">
        <v>329</v>
      </c>
      <c r="O280" t="s">
        <v>334</v>
      </c>
    </row>
    <row r="281" spans="1:15" x14ac:dyDescent="0.25">
      <c r="A281" t="s">
        <v>364</v>
      </c>
      <c r="B281" t="s">
        <v>361</v>
      </c>
      <c r="C281" t="s">
        <v>363</v>
      </c>
      <c r="D281" t="s">
        <v>43</v>
      </c>
      <c r="E281">
        <v>512915</v>
      </c>
      <c r="F281" t="s">
        <v>44</v>
      </c>
      <c r="G281" t="s">
        <v>362</v>
      </c>
      <c r="H281" t="str">
        <f t="shared" si="8"/>
        <v>0926/2019</v>
      </c>
      <c r="I281" t="s">
        <v>2410</v>
      </c>
      <c r="L281" t="s">
        <v>333</v>
      </c>
      <c r="M281" t="str">
        <f t="shared" si="9"/>
        <v>projectCollections</v>
      </c>
      <c r="N281" t="s">
        <v>329</v>
      </c>
      <c r="O281" t="s">
        <v>334</v>
      </c>
    </row>
    <row r="282" spans="1:15" x14ac:dyDescent="0.25">
      <c r="A282" t="s">
        <v>857</v>
      </c>
      <c r="B282" t="s">
        <v>854</v>
      </c>
      <c r="C282" t="s">
        <v>856</v>
      </c>
      <c r="D282" t="s">
        <v>43</v>
      </c>
      <c r="E282">
        <v>568891</v>
      </c>
      <c r="F282" t="s">
        <v>44</v>
      </c>
      <c r="G282" t="s">
        <v>855</v>
      </c>
      <c r="H282" t="str">
        <f t="shared" si="8"/>
        <v>0926/2019</v>
      </c>
      <c r="I282" t="s">
        <v>2410</v>
      </c>
      <c r="L282" t="s">
        <v>829</v>
      </c>
      <c r="M282" t="str">
        <f t="shared" si="9"/>
        <v>projectCollections</v>
      </c>
      <c r="N282" t="s">
        <v>824</v>
      </c>
      <c r="O282" t="s">
        <v>830</v>
      </c>
    </row>
    <row r="283" spans="1:15" x14ac:dyDescent="0.25">
      <c r="A283" t="s">
        <v>831</v>
      </c>
      <c r="B283" t="s">
        <v>825</v>
      </c>
      <c r="C283" t="s">
        <v>828</v>
      </c>
      <c r="D283" t="s">
        <v>43</v>
      </c>
      <c r="E283">
        <v>568892</v>
      </c>
      <c r="F283" t="s">
        <v>44</v>
      </c>
      <c r="G283" t="s">
        <v>827</v>
      </c>
      <c r="H283" t="str">
        <f t="shared" si="8"/>
        <v>0926/2019</v>
      </c>
      <c r="I283" t="s">
        <v>2410</v>
      </c>
      <c r="L283" t="s">
        <v>829</v>
      </c>
      <c r="M283" t="str">
        <f t="shared" si="9"/>
        <v>projectCollections</v>
      </c>
      <c r="N283" t="s">
        <v>824</v>
      </c>
      <c r="O283" t="s">
        <v>830</v>
      </c>
    </row>
    <row r="284" spans="1:15" x14ac:dyDescent="0.25">
      <c r="A284" t="s">
        <v>836</v>
      </c>
      <c r="B284" t="s">
        <v>832</v>
      </c>
      <c r="C284" t="s">
        <v>835</v>
      </c>
      <c r="D284" t="s">
        <v>43</v>
      </c>
      <c r="E284">
        <v>568893</v>
      </c>
      <c r="F284" t="s">
        <v>44</v>
      </c>
      <c r="G284" t="s">
        <v>834</v>
      </c>
      <c r="H284" t="str">
        <f t="shared" si="8"/>
        <v>0926/2019</v>
      </c>
      <c r="I284" t="s">
        <v>2410</v>
      </c>
      <c r="L284" t="s">
        <v>829</v>
      </c>
      <c r="M284" t="str">
        <f t="shared" si="9"/>
        <v>projectCollections</v>
      </c>
      <c r="N284" t="s">
        <v>824</v>
      </c>
      <c r="O284" t="s">
        <v>830</v>
      </c>
    </row>
    <row r="285" spans="1:15" x14ac:dyDescent="0.25">
      <c r="A285" t="s">
        <v>861</v>
      </c>
      <c r="B285" t="s">
        <v>858</v>
      </c>
      <c r="C285" t="s">
        <v>860</v>
      </c>
      <c r="D285" t="s">
        <v>43</v>
      </c>
      <c r="E285">
        <v>568894</v>
      </c>
      <c r="F285" t="s">
        <v>44</v>
      </c>
      <c r="G285" t="s">
        <v>859</v>
      </c>
      <c r="H285" t="str">
        <f t="shared" si="8"/>
        <v>0926/2019</v>
      </c>
      <c r="I285" t="s">
        <v>2410</v>
      </c>
      <c r="L285" t="s">
        <v>829</v>
      </c>
      <c r="M285" t="str">
        <f t="shared" si="9"/>
        <v>projectCollections</v>
      </c>
      <c r="N285" t="s">
        <v>824</v>
      </c>
      <c r="O285" t="s">
        <v>830</v>
      </c>
    </row>
    <row r="286" spans="1:15" x14ac:dyDescent="0.25">
      <c r="A286" t="s">
        <v>840</v>
      </c>
      <c r="B286" t="s">
        <v>837</v>
      </c>
      <c r="C286" t="s">
        <v>839</v>
      </c>
      <c r="D286" t="s">
        <v>43</v>
      </c>
      <c r="E286">
        <v>568895</v>
      </c>
      <c r="F286" t="s">
        <v>44</v>
      </c>
      <c r="G286" t="s">
        <v>838</v>
      </c>
      <c r="H286" t="str">
        <f t="shared" si="8"/>
        <v>0926/2019</v>
      </c>
      <c r="I286" t="s">
        <v>2410</v>
      </c>
      <c r="L286" t="s">
        <v>829</v>
      </c>
      <c r="M286" t="str">
        <f t="shared" si="9"/>
        <v>projectCollections</v>
      </c>
      <c r="N286" t="s">
        <v>824</v>
      </c>
      <c r="O286" t="s">
        <v>830</v>
      </c>
    </row>
    <row r="287" spans="1:15" x14ac:dyDescent="0.25">
      <c r="A287" t="s">
        <v>844</v>
      </c>
      <c r="B287" t="s">
        <v>841</v>
      </c>
      <c r="C287" t="s">
        <v>843</v>
      </c>
      <c r="D287" t="s">
        <v>43</v>
      </c>
      <c r="E287">
        <v>568896</v>
      </c>
      <c r="F287" t="s">
        <v>44</v>
      </c>
      <c r="G287" t="s">
        <v>842</v>
      </c>
      <c r="H287" t="str">
        <f t="shared" si="8"/>
        <v>0926/2019</v>
      </c>
      <c r="I287" t="s">
        <v>2410</v>
      </c>
      <c r="L287" t="s">
        <v>829</v>
      </c>
      <c r="M287" t="str">
        <f t="shared" si="9"/>
        <v>projectCollections</v>
      </c>
      <c r="N287" t="s">
        <v>824</v>
      </c>
      <c r="O287" t="s">
        <v>830</v>
      </c>
    </row>
    <row r="288" spans="1:15" x14ac:dyDescent="0.25">
      <c r="A288" t="s">
        <v>848</v>
      </c>
      <c r="B288" t="s">
        <v>278</v>
      </c>
      <c r="C288" t="s">
        <v>847</v>
      </c>
      <c r="D288" t="s">
        <v>43</v>
      </c>
      <c r="E288">
        <v>568897</v>
      </c>
      <c r="F288" t="s">
        <v>44</v>
      </c>
      <c r="G288" t="s">
        <v>846</v>
      </c>
      <c r="H288" t="str">
        <f t="shared" si="8"/>
        <v>0926/2019</v>
      </c>
      <c r="I288" t="s">
        <v>2410</v>
      </c>
      <c r="L288" t="s">
        <v>829</v>
      </c>
      <c r="M288" t="str">
        <f t="shared" si="9"/>
        <v>projectCollections</v>
      </c>
      <c r="N288" t="s">
        <v>824</v>
      </c>
      <c r="O288" t="s">
        <v>830</v>
      </c>
    </row>
    <row r="289" spans="1:15" x14ac:dyDescent="0.25">
      <c r="A289" t="s">
        <v>853</v>
      </c>
      <c r="B289" t="s">
        <v>850</v>
      </c>
      <c r="C289" t="s">
        <v>852</v>
      </c>
      <c r="D289" t="s">
        <v>43</v>
      </c>
      <c r="E289">
        <v>568898</v>
      </c>
      <c r="F289" t="s">
        <v>44</v>
      </c>
      <c r="G289" t="s">
        <v>851</v>
      </c>
      <c r="H289" t="str">
        <f t="shared" si="8"/>
        <v>0926/2019</v>
      </c>
      <c r="I289" t="s">
        <v>2410</v>
      </c>
      <c r="K289" t="s">
        <v>849</v>
      </c>
      <c r="L289" t="s">
        <v>829</v>
      </c>
      <c r="M289" t="str">
        <f t="shared" si="9"/>
        <v>projectCollections</v>
      </c>
      <c r="N289" t="s">
        <v>824</v>
      </c>
      <c r="O289" t="s">
        <v>830</v>
      </c>
    </row>
    <row r="290" spans="1:15" x14ac:dyDescent="0.25">
      <c r="H290" t="e">
        <f t="shared" si="8"/>
        <v>#VALUE!</v>
      </c>
      <c r="I290" t="e">
        <v>#VALUE!</v>
      </c>
      <c r="L290" t="s">
        <v>32</v>
      </c>
      <c r="M290" t="str">
        <f t="shared" si="9"/>
        <v>projectCollections</v>
      </c>
      <c r="N290" t="s">
        <v>31</v>
      </c>
      <c r="O290" t="s">
        <v>33</v>
      </c>
    </row>
    <row r="291" spans="1:15" x14ac:dyDescent="0.25">
      <c r="A291" t="s">
        <v>1791</v>
      </c>
      <c r="B291" t="s">
        <v>1786</v>
      </c>
      <c r="C291" t="s">
        <v>1788</v>
      </c>
      <c r="D291" t="s">
        <v>43</v>
      </c>
      <c r="E291">
        <v>132285</v>
      </c>
      <c r="F291" t="s">
        <v>44</v>
      </c>
      <c r="G291" t="s">
        <v>1787</v>
      </c>
      <c r="H291" t="str">
        <f t="shared" si="8"/>
        <v>1025/2019</v>
      </c>
      <c r="I291" t="s">
        <v>2400</v>
      </c>
      <c r="L291" t="s">
        <v>1789</v>
      </c>
      <c r="M291" t="str">
        <f t="shared" si="9"/>
        <v>projectCollections</v>
      </c>
      <c r="N291" t="s">
        <v>1785</v>
      </c>
      <c r="O291" t="s">
        <v>1790</v>
      </c>
    </row>
    <row r="292" spans="1:15" x14ac:dyDescent="0.25">
      <c r="A292" t="s">
        <v>373</v>
      </c>
      <c r="B292" t="s">
        <v>366</v>
      </c>
      <c r="C292" t="s">
        <v>370</v>
      </c>
      <c r="D292" t="s">
        <v>43</v>
      </c>
      <c r="E292">
        <v>202</v>
      </c>
      <c r="F292" t="s">
        <v>44</v>
      </c>
      <c r="G292" t="s">
        <v>369</v>
      </c>
      <c r="H292" t="str">
        <f t="shared" si="8"/>
        <v>0416/2024</v>
      </c>
      <c r="I292" t="s">
        <v>2477</v>
      </c>
      <c r="L292" t="s">
        <v>371</v>
      </c>
      <c r="M292" t="str">
        <f t="shared" si="9"/>
        <v>projectCollections</v>
      </c>
      <c r="N292" t="s">
        <v>365</v>
      </c>
      <c r="O292" t="s">
        <v>372</v>
      </c>
    </row>
    <row r="293" spans="1:15" x14ac:dyDescent="0.25">
      <c r="A293" t="s">
        <v>393</v>
      </c>
      <c r="B293" t="s">
        <v>388</v>
      </c>
      <c r="C293" t="s">
        <v>392</v>
      </c>
      <c r="D293" t="s">
        <v>43</v>
      </c>
      <c r="E293">
        <v>32</v>
      </c>
      <c r="F293" t="s">
        <v>44</v>
      </c>
      <c r="G293" t="s">
        <v>391</v>
      </c>
      <c r="H293" t="str">
        <f t="shared" si="8"/>
        <v>0316/2023</v>
      </c>
      <c r="I293" t="s">
        <v>2478</v>
      </c>
      <c r="K293" t="s">
        <v>374</v>
      </c>
      <c r="L293" t="s">
        <v>371</v>
      </c>
      <c r="M293" t="str">
        <f t="shared" si="9"/>
        <v>projectCollections</v>
      </c>
      <c r="N293" t="s">
        <v>365</v>
      </c>
      <c r="O293" t="s">
        <v>372</v>
      </c>
    </row>
    <row r="294" spans="1:15" x14ac:dyDescent="0.25">
      <c r="A294" t="s">
        <v>414</v>
      </c>
      <c r="B294" t="s">
        <v>406</v>
      </c>
      <c r="C294" t="s">
        <v>413</v>
      </c>
      <c r="D294" t="s">
        <v>43</v>
      </c>
      <c r="E294">
        <v>241</v>
      </c>
      <c r="F294" t="s">
        <v>44</v>
      </c>
      <c r="G294" t="s">
        <v>412</v>
      </c>
      <c r="H294" t="str">
        <f t="shared" si="8"/>
        <v>0212/2025</v>
      </c>
      <c r="I294" t="s">
        <v>2479</v>
      </c>
      <c r="K294" t="s">
        <v>394</v>
      </c>
      <c r="L294" t="s">
        <v>371</v>
      </c>
      <c r="M294" t="str">
        <f t="shared" si="9"/>
        <v>projectCollections</v>
      </c>
      <c r="N294" t="s">
        <v>365</v>
      </c>
      <c r="O294" t="s">
        <v>372</v>
      </c>
    </row>
    <row r="295" spans="1:15" x14ac:dyDescent="0.25">
      <c r="A295" t="s">
        <v>422</v>
      </c>
      <c r="B295" t="s">
        <v>415</v>
      </c>
      <c r="C295" t="s">
        <v>421</v>
      </c>
      <c r="D295" t="s">
        <v>43</v>
      </c>
      <c r="E295">
        <v>252</v>
      </c>
      <c r="F295" t="s">
        <v>44</v>
      </c>
      <c r="G295" t="s">
        <v>420</v>
      </c>
      <c r="H295" t="str">
        <f t="shared" si="8"/>
        <v>0410/2025</v>
      </c>
      <c r="I295" t="s">
        <v>2480</v>
      </c>
      <c r="L295" t="s">
        <v>371</v>
      </c>
      <c r="M295" t="str">
        <f t="shared" si="9"/>
        <v>projectCollections</v>
      </c>
      <c r="N295" t="s">
        <v>365</v>
      </c>
      <c r="O295" t="s">
        <v>372</v>
      </c>
    </row>
    <row r="296" spans="1:15" x14ac:dyDescent="0.25">
      <c r="A296" t="s">
        <v>405</v>
      </c>
      <c r="B296" t="s">
        <v>400</v>
      </c>
      <c r="C296" t="s">
        <v>404</v>
      </c>
      <c r="D296" t="s">
        <v>43</v>
      </c>
      <c r="E296">
        <v>10</v>
      </c>
      <c r="F296" t="s">
        <v>44</v>
      </c>
      <c r="G296" t="s">
        <v>403</v>
      </c>
      <c r="H296" t="str">
        <f t="shared" si="8"/>
        <v>0217/2021</v>
      </c>
      <c r="I296" t="s">
        <v>2481</v>
      </c>
      <c r="K296" t="s">
        <v>423</v>
      </c>
      <c r="L296" t="s">
        <v>371</v>
      </c>
      <c r="M296" t="str">
        <f t="shared" si="9"/>
        <v>projectCollections</v>
      </c>
      <c r="N296" t="s">
        <v>365</v>
      </c>
      <c r="O296" t="s">
        <v>372</v>
      </c>
    </row>
    <row r="297" spans="1:15" x14ac:dyDescent="0.25">
      <c r="A297" t="s">
        <v>378</v>
      </c>
      <c r="B297" t="s">
        <v>375</v>
      </c>
      <c r="C297" t="s">
        <v>377</v>
      </c>
      <c r="D297" t="s">
        <v>43</v>
      </c>
      <c r="E297">
        <v>157</v>
      </c>
      <c r="F297" t="s">
        <v>44</v>
      </c>
      <c r="G297" t="s">
        <v>376</v>
      </c>
      <c r="H297" t="str">
        <f t="shared" si="8"/>
        <v>0416/2024</v>
      </c>
      <c r="I297" t="s">
        <v>2477</v>
      </c>
      <c r="L297" t="s">
        <v>371</v>
      </c>
      <c r="M297" t="str">
        <f t="shared" si="9"/>
        <v>projectCollections</v>
      </c>
      <c r="N297" t="s">
        <v>365</v>
      </c>
      <c r="O297" t="s">
        <v>372</v>
      </c>
    </row>
    <row r="298" spans="1:15" x14ac:dyDescent="0.25">
      <c r="A298" t="s">
        <v>435</v>
      </c>
      <c r="B298" t="s">
        <v>431</v>
      </c>
      <c r="C298" t="s">
        <v>434</v>
      </c>
      <c r="D298" t="s">
        <v>43</v>
      </c>
      <c r="E298">
        <v>175</v>
      </c>
      <c r="F298" t="s">
        <v>44</v>
      </c>
      <c r="G298" t="s">
        <v>433</v>
      </c>
      <c r="H298" t="str">
        <f t="shared" si="8"/>
        <v>0416/2024</v>
      </c>
      <c r="I298" t="s">
        <v>2477</v>
      </c>
      <c r="L298" t="s">
        <v>371</v>
      </c>
      <c r="M298" t="str">
        <f t="shared" si="9"/>
        <v>projectCollections</v>
      </c>
      <c r="N298" t="s">
        <v>365</v>
      </c>
      <c r="O298" t="s">
        <v>372</v>
      </c>
    </row>
    <row r="299" spans="1:15" x14ac:dyDescent="0.25">
      <c r="A299" t="s">
        <v>382</v>
      </c>
      <c r="B299" t="s">
        <v>379</v>
      </c>
      <c r="C299" t="s">
        <v>381</v>
      </c>
      <c r="D299" t="s">
        <v>43</v>
      </c>
      <c r="E299">
        <v>193</v>
      </c>
      <c r="F299" t="s">
        <v>44</v>
      </c>
      <c r="G299" t="s">
        <v>380</v>
      </c>
      <c r="H299" t="str">
        <f t="shared" si="8"/>
        <v>0416/2024</v>
      </c>
      <c r="I299" t="s">
        <v>2477</v>
      </c>
      <c r="L299" t="s">
        <v>371</v>
      </c>
      <c r="M299" t="str">
        <f t="shared" si="9"/>
        <v>projectCollections</v>
      </c>
      <c r="N299" t="s">
        <v>365</v>
      </c>
      <c r="O299" t="s">
        <v>372</v>
      </c>
    </row>
    <row r="300" spans="1:15" x14ac:dyDescent="0.25">
      <c r="A300" t="s">
        <v>429</v>
      </c>
      <c r="B300" t="s">
        <v>424</v>
      </c>
      <c r="C300" t="s">
        <v>428</v>
      </c>
      <c r="D300" t="s">
        <v>43</v>
      </c>
      <c r="E300">
        <v>243</v>
      </c>
      <c r="F300" t="s">
        <v>44</v>
      </c>
      <c r="G300" t="s">
        <v>427</v>
      </c>
      <c r="H300" t="str">
        <f t="shared" si="8"/>
        <v>0220/2025</v>
      </c>
      <c r="I300" t="s">
        <v>2482</v>
      </c>
      <c r="K300" t="s">
        <v>383</v>
      </c>
      <c r="L300" t="s">
        <v>371</v>
      </c>
      <c r="M300" t="str">
        <f t="shared" si="9"/>
        <v>projectCollections</v>
      </c>
      <c r="N300" t="s">
        <v>365</v>
      </c>
      <c r="O300" t="s">
        <v>372</v>
      </c>
    </row>
    <row r="301" spans="1:15" x14ac:dyDescent="0.25">
      <c r="A301" t="s">
        <v>399</v>
      </c>
      <c r="B301" t="s">
        <v>395</v>
      </c>
      <c r="C301" t="s">
        <v>398</v>
      </c>
      <c r="D301" t="s">
        <v>43</v>
      </c>
      <c r="E301">
        <v>31</v>
      </c>
      <c r="F301" t="s">
        <v>44</v>
      </c>
      <c r="G301" t="s">
        <v>397</v>
      </c>
      <c r="H301" t="str">
        <f t="shared" si="8"/>
        <v>0214/2023</v>
      </c>
      <c r="I301" t="s">
        <v>2483</v>
      </c>
      <c r="K301" t="s">
        <v>430</v>
      </c>
      <c r="L301" t="s">
        <v>371</v>
      </c>
      <c r="M301" t="str">
        <f t="shared" si="9"/>
        <v>projectCollections</v>
      </c>
      <c r="N301" t="s">
        <v>365</v>
      </c>
      <c r="O301" t="s">
        <v>372</v>
      </c>
    </row>
    <row r="302" spans="1:15" x14ac:dyDescent="0.25">
      <c r="A302" t="s">
        <v>441</v>
      </c>
      <c r="B302" t="s">
        <v>436</v>
      </c>
      <c r="C302" t="s">
        <v>440</v>
      </c>
      <c r="D302" t="s">
        <v>43</v>
      </c>
      <c r="E302">
        <v>232</v>
      </c>
      <c r="F302" t="s">
        <v>44</v>
      </c>
      <c r="G302" t="s">
        <v>439</v>
      </c>
      <c r="H302" t="str">
        <f t="shared" si="8"/>
        <v>1022/2024</v>
      </c>
      <c r="I302" t="s">
        <v>2484</v>
      </c>
      <c r="L302" t="s">
        <v>371</v>
      </c>
      <c r="M302" t="str">
        <f t="shared" si="9"/>
        <v>projectCollections</v>
      </c>
      <c r="N302" t="s">
        <v>365</v>
      </c>
      <c r="O302" t="s">
        <v>372</v>
      </c>
    </row>
    <row r="303" spans="1:15" x14ac:dyDescent="0.25">
      <c r="A303" t="s">
        <v>446</v>
      </c>
      <c r="B303" t="s">
        <v>442</v>
      </c>
      <c r="C303" t="s">
        <v>445</v>
      </c>
      <c r="D303" t="s">
        <v>43</v>
      </c>
      <c r="E303">
        <v>237</v>
      </c>
      <c r="F303" t="s">
        <v>44</v>
      </c>
      <c r="G303" t="s">
        <v>444</v>
      </c>
      <c r="H303" t="str">
        <f t="shared" si="8"/>
        <v>1113/2024</v>
      </c>
      <c r="I303" t="s">
        <v>2485</v>
      </c>
      <c r="L303" t="s">
        <v>371</v>
      </c>
      <c r="M303" t="str">
        <f t="shared" si="9"/>
        <v>projectCollections</v>
      </c>
      <c r="N303" t="s">
        <v>365</v>
      </c>
      <c r="O303" t="s">
        <v>372</v>
      </c>
    </row>
    <row r="304" spans="1:15" x14ac:dyDescent="0.25">
      <c r="A304" t="s">
        <v>453</v>
      </c>
      <c r="B304" t="s">
        <v>448</v>
      </c>
      <c r="C304" t="s">
        <v>452</v>
      </c>
      <c r="D304" t="s">
        <v>43</v>
      </c>
      <c r="E304">
        <v>215</v>
      </c>
      <c r="F304" t="s">
        <v>44</v>
      </c>
      <c r="G304" t="s">
        <v>451</v>
      </c>
      <c r="H304" t="str">
        <f t="shared" si="8"/>
        <v>0730/2024</v>
      </c>
      <c r="I304" t="s">
        <v>2486</v>
      </c>
      <c r="K304" t="s">
        <v>447</v>
      </c>
      <c r="L304" t="s">
        <v>371</v>
      </c>
      <c r="M304" t="str">
        <f t="shared" si="9"/>
        <v>projectCollections</v>
      </c>
      <c r="N304" t="s">
        <v>365</v>
      </c>
      <c r="O304" t="s">
        <v>372</v>
      </c>
    </row>
    <row r="305" spans="1:15" x14ac:dyDescent="0.25">
      <c r="A305" t="s">
        <v>387</v>
      </c>
      <c r="B305" t="s">
        <v>384</v>
      </c>
      <c r="C305" t="s">
        <v>386</v>
      </c>
      <c r="D305" t="s">
        <v>43</v>
      </c>
      <c r="E305">
        <v>166</v>
      </c>
      <c r="F305" t="s">
        <v>44</v>
      </c>
      <c r="G305" t="s">
        <v>385</v>
      </c>
      <c r="H305" t="str">
        <f t="shared" si="8"/>
        <v>0416/2024</v>
      </c>
      <c r="I305" t="s">
        <v>2477</v>
      </c>
      <c r="L305" t="s">
        <v>371</v>
      </c>
      <c r="M305" t="str">
        <f t="shared" si="9"/>
        <v>projectCollections</v>
      </c>
      <c r="N305" t="s">
        <v>365</v>
      </c>
      <c r="O305" t="s">
        <v>372</v>
      </c>
    </row>
    <row r="306" spans="1:15" x14ac:dyDescent="0.25">
      <c r="A306" t="s">
        <v>458</v>
      </c>
      <c r="B306" t="s">
        <v>454</v>
      </c>
      <c r="C306" t="s">
        <v>457</v>
      </c>
      <c r="D306" t="s">
        <v>43</v>
      </c>
      <c r="E306">
        <v>236</v>
      </c>
      <c r="F306" t="s">
        <v>44</v>
      </c>
      <c r="G306" t="s">
        <v>456</v>
      </c>
      <c r="H306" t="str">
        <f t="shared" si="8"/>
        <v>1112/2024</v>
      </c>
      <c r="I306" t="s">
        <v>2487</v>
      </c>
      <c r="L306" t="s">
        <v>371</v>
      </c>
      <c r="M306" t="str">
        <f t="shared" si="9"/>
        <v>projectCollections</v>
      </c>
      <c r="N306" t="s">
        <v>365</v>
      </c>
      <c r="O306" t="s">
        <v>372</v>
      </c>
    </row>
    <row r="307" spans="1:15" x14ac:dyDescent="0.25">
      <c r="A307" t="s">
        <v>323</v>
      </c>
      <c r="B307" t="s">
        <v>319</v>
      </c>
      <c r="C307" t="s">
        <v>322</v>
      </c>
      <c r="D307" t="s">
        <v>43</v>
      </c>
      <c r="E307">
        <v>86635</v>
      </c>
      <c r="F307" t="s">
        <v>44</v>
      </c>
      <c r="G307" t="s">
        <v>321</v>
      </c>
      <c r="H307" t="str">
        <f t="shared" si="8"/>
        <v>0926/2019</v>
      </c>
      <c r="I307" t="s">
        <v>2410</v>
      </c>
      <c r="K307" t="s">
        <v>459</v>
      </c>
      <c r="L307" t="s">
        <v>315</v>
      </c>
      <c r="M307" t="str">
        <f t="shared" si="9"/>
        <v>projectCollections</v>
      </c>
      <c r="N307" t="s">
        <v>310</v>
      </c>
      <c r="O307" t="s">
        <v>316</v>
      </c>
    </row>
    <row r="308" spans="1:15" x14ac:dyDescent="0.25">
      <c r="A308" t="s">
        <v>327</v>
      </c>
      <c r="B308" t="s">
        <v>324</v>
      </c>
      <c r="C308" t="s">
        <v>326</v>
      </c>
      <c r="D308" t="s">
        <v>43</v>
      </c>
      <c r="E308">
        <v>86636</v>
      </c>
      <c r="F308" t="s">
        <v>44</v>
      </c>
      <c r="G308" t="s">
        <v>325</v>
      </c>
      <c r="H308" t="str">
        <f t="shared" si="8"/>
        <v>0926/2019</v>
      </c>
      <c r="I308" t="s">
        <v>2410</v>
      </c>
      <c r="L308" t="s">
        <v>315</v>
      </c>
      <c r="M308" t="str">
        <f t="shared" si="9"/>
        <v>projectCollections</v>
      </c>
      <c r="N308" t="s">
        <v>310</v>
      </c>
      <c r="O308" t="s">
        <v>316</v>
      </c>
    </row>
    <row r="309" spans="1:15" x14ac:dyDescent="0.25">
      <c r="A309" t="s">
        <v>317</v>
      </c>
      <c r="B309" t="s">
        <v>311</v>
      </c>
      <c r="C309" t="s">
        <v>314</v>
      </c>
      <c r="D309" t="s">
        <v>43</v>
      </c>
      <c r="E309">
        <v>86637</v>
      </c>
      <c r="F309" t="s">
        <v>44</v>
      </c>
      <c r="G309" t="s">
        <v>313</v>
      </c>
      <c r="H309" t="str">
        <f t="shared" si="8"/>
        <v>0926/2019</v>
      </c>
      <c r="I309" t="s">
        <v>2410</v>
      </c>
      <c r="K309" t="s">
        <v>328</v>
      </c>
      <c r="L309" t="s">
        <v>315</v>
      </c>
      <c r="M309" t="str">
        <f t="shared" si="9"/>
        <v>projectCollections</v>
      </c>
      <c r="N309" t="s">
        <v>310</v>
      </c>
      <c r="O309" t="s">
        <v>316</v>
      </c>
    </row>
    <row r="310" spans="1:15" x14ac:dyDescent="0.25">
      <c r="A310" t="s">
        <v>799</v>
      </c>
      <c r="B310" t="s">
        <v>793</v>
      </c>
      <c r="C310" t="s">
        <v>796</v>
      </c>
      <c r="D310" t="s">
        <v>43</v>
      </c>
      <c r="E310">
        <v>156799</v>
      </c>
      <c r="F310" t="s">
        <v>44</v>
      </c>
      <c r="G310" t="s">
        <v>795</v>
      </c>
      <c r="H310" t="str">
        <f t="shared" si="8"/>
        <v>0926/2019</v>
      </c>
      <c r="I310" t="s">
        <v>2410</v>
      </c>
      <c r="K310" t="s">
        <v>318</v>
      </c>
      <c r="L310" t="s">
        <v>797</v>
      </c>
      <c r="M310" t="str">
        <f t="shared" si="9"/>
        <v>projectCollections</v>
      </c>
      <c r="N310" t="s">
        <v>792</v>
      </c>
      <c r="O310" t="s">
        <v>798</v>
      </c>
    </row>
    <row r="311" spans="1:15" x14ac:dyDescent="0.25">
      <c r="A311" t="s">
        <v>804</v>
      </c>
      <c r="B311" t="s">
        <v>800</v>
      </c>
      <c r="C311" t="s">
        <v>803</v>
      </c>
      <c r="D311" t="s">
        <v>43</v>
      </c>
      <c r="E311">
        <v>156800</v>
      </c>
      <c r="F311" t="s">
        <v>44</v>
      </c>
      <c r="G311" t="s">
        <v>802</v>
      </c>
      <c r="H311" t="str">
        <f t="shared" si="8"/>
        <v>0926/2019</v>
      </c>
      <c r="I311" t="s">
        <v>2410</v>
      </c>
      <c r="L311" t="s">
        <v>797</v>
      </c>
      <c r="M311" t="str">
        <f t="shared" si="9"/>
        <v>projectCollections</v>
      </c>
      <c r="N311" t="s">
        <v>792</v>
      </c>
      <c r="O311" t="s">
        <v>798</v>
      </c>
    </row>
    <row r="312" spans="1:15" x14ac:dyDescent="0.25">
      <c r="A312" t="s">
        <v>818</v>
      </c>
      <c r="B312" t="s">
        <v>815</v>
      </c>
      <c r="C312" t="s">
        <v>817</v>
      </c>
      <c r="D312" t="s">
        <v>43</v>
      </c>
      <c r="E312">
        <v>156801</v>
      </c>
      <c r="F312" t="s">
        <v>44</v>
      </c>
      <c r="G312" t="s">
        <v>816</v>
      </c>
      <c r="H312" t="str">
        <f t="shared" si="8"/>
        <v>0926/2019</v>
      </c>
      <c r="I312" t="s">
        <v>2410</v>
      </c>
      <c r="K312" t="s">
        <v>805</v>
      </c>
      <c r="L312" t="s">
        <v>797</v>
      </c>
      <c r="M312" t="str">
        <f t="shared" si="9"/>
        <v>projectCollections</v>
      </c>
      <c r="N312" t="s">
        <v>792</v>
      </c>
      <c r="O312" t="s">
        <v>798</v>
      </c>
    </row>
    <row r="313" spans="1:15" x14ac:dyDescent="0.25">
      <c r="A313" t="s">
        <v>779</v>
      </c>
      <c r="B313" t="s">
        <v>772</v>
      </c>
      <c r="C313" t="s">
        <v>776</v>
      </c>
      <c r="D313" t="s">
        <v>43</v>
      </c>
      <c r="E313">
        <v>18</v>
      </c>
      <c r="F313" t="s">
        <v>44</v>
      </c>
      <c r="G313" t="s">
        <v>775</v>
      </c>
      <c r="H313" t="str">
        <f t="shared" si="8"/>
        <v>1114/2022</v>
      </c>
      <c r="I313" t="s">
        <v>2488</v>
      </c>
      <c r="K313" t="s">
        <v>819</v>
      </c>
      <c r="L313" t="s">
        <v>777</v>
      </c>
      <c r="M313" t="str">
        <f t="shared" si="9"/>
        <v>projectCollections</v>
      </c>
      <c r="N313" t="s">
        <v>771</v>
      </c>
      <c r="O313" t="s">
        <v>778</v>
      </c>
    </row>
    <row r="314" spans="1:15" x14ac:dyDescent="0.25">
      <c r="A314" t="s">
        <v>786</v>
      </c>
      <c r="B314" t="s">
        <v>781</v>
      </c>
      <c r="C314" t="s">
        <v>785</v>
      </c>
      <c r="D314" t="s">
        <v>43</v>
      </c>
      <c r="E314">
        <v>27</v>
      </c>
      <c r="F314" t="s">
        <v>44</v>
      </c>
      <c r="G314" t="s">
        <v>784</v>
      </c>
      <c r="H314" t="str">
        <f t="shared" si="8"/>
        <v>1220/2022</v>
      </c>
      <c r="I314" t="s">
        <v>2489</v>
      </c>
      <c r="K314" t="s">
        <v>780</v>
      </c>
      <c r="L314" t="s">
        <v>777</v>
      </c>
      <c r="M314" t="str">
        <f t="shared" si="9"/>
        <v>projectCollections</v>
      </c>
      <c r="N314" t="s">
        <v>771</v>
      </c>
      <c r="O314" t="s">
        <v>778</v>
      </c>
    </row>
    <row r="315" spans="1:15" x14ac:dyDescent="0.25">
      <c r="A315" t="s">
        <v>791</v>
      </c>
      <c r="B315" t="s">
        <v>788</v>
      </c>
      <c r="C315" t="s">
        <v>790</v>
      </c>
      <c r="D315" t="s">
        <v>43</v>
      </c>
      <c r="E315">
        <v>9</v>
      </c>
      <c r="F315" t="s">
        <v>44</v>
      </c>
      <c r="G315" t="s">
        <v>789</v>
      </c>
      <c r="H315" t="str">
        <f t="shared" si="8"/>
        <v>1108/2021</v>
      </c>
      <c r="I315" t="s">
        <v>2490</v>
      </c>
      <c r="K315" t="s">
        <v>787</v>
      </c>
      <c r="L315" t="s">
        <v>777</v>
      </c>
      <c r="M315" t="str">
        <f t="shared" si="9"/>
        <v>projectCollections</v>
      </c>
      <c r="N315" t="s">
        <v>771</v>
      </c>
      <c r="O315" t="s">
        <v>778</v>
      </c>
    </row>
    <row r="316" spans="1:15" x14ac:dyDescent="0.25">
      <c r="A316" t="s">
        <v>1583</v>
      </c>
      <c r="B316" t="s">
        <v>1578</v>
      </c>
      <c r="C316" t="s">
        <v>1580</v>
      </c>
      <c r="D316" t="s">
        <v>43</v>
      </c>
      <c r="E316">
        <v>210302</v>
      </c>
      <c r="F316" t="s">
        <v>44</v>
      </c>
      <c r="G316" t="s">
        <v>1579</v>
      </c>
      <c r="H316" t="str">
        <f t="shared" si="8"/>
        <v>0926/2019</v>
      </c>
      <c r="I316" t="s">
        <v>2410</v>
      </c>
      <c r="L316" t="s">
        <v>1581</v>
      </c>
      <c r="M316" t="str">
        <f t="shared" si="9"/>
        <v>projectCollections</v>
      </c>
      <c r="N316" t="s">
        <v>1577</v>
      </c>
      <c r="O316" t="s">
        <v>1582</v>
      </c>
    </row>
    <row r="317" spans="1:15" x14ac:dyDescent="0.25">
      <c r="A317" t="s">
        <v>1587</v>
      </c>
      <c r="B317" t="s">
        <v>1584</v>
      </c>
      <c r="C317" t="s">
        <v>1586</v>
      </c>
      <c r="D317" t="s">
        <v>43</v>
      </c>
      <c r="E317">
        <v>210303</v>
      </c>
      <c r="F317" t="s">
        <v>44</v>
      </c>
      <c r="G317" t="s">
        <v>1585</v>
      </c>
      <c r="H317" t="str">
        <f t="shared" si="8"/>
        <v>0926/2019</v>
      </c>
      <c r="I317" t="s">
        <v>2410</v>
      </c>
      <c r="L317" t="s">
        <v>1581</v>
      </c>
      <c r="M317" t="str">
        <f t="shared" si="9"/>
        <v>projectCollections</v>
      </c>
      <c r="N317" t="s">
        <v>1577</v>
      </c>
      <c r="O317" t="s">
        <v>1582</v>
      </c>
    </row>
    <row r="318" spans="1:15" x14ac:dyDescent="0.25">
      <c r="A318" t="s">
        <v>1591</v>
      </c>
      <c r="B318" t="s">
        <v>1588</v>
      </c>
      <c r="C318" t="s">
        <v>1590</v>
      </c>
      <c r="D318" t="s">
        <v>43</v>
      </c>
      <c r="E318">
        <v>210304</v>
      </c>
      <c r="F318" t="s">
        <v>44</v>
      </c>
      <c r="G318" t="s">
        <v>1589</v>
      </c>
      <c r="H318" t="str">
        <f t="shared" si="8"/>
        <v>0926/2019</v>
      </c>
      <c r="I318" t="s">
        <v>2410</v>
      </c>
      <c r="L318" t="s">
        <v>1581</v>
      </c>
      <c r="M318" t="str">
        <f t="shared" si="9"/>
        <v>projectCollections</v>
      </c>
      <c r="N318" t="s">
        <v>1577</v>
      </c>
      <c r="O318" t="s">
        <v>1582</v>
      </c>
    </row>
    <row r="319" spans="1:15" x14ac:dyDescent="0.25">
      <c r="A319" t="s">
        <v>1595</v>
      </c>
      <c r="B319" t="s">
        <v>1592</v>
      </c>
      <c r="C319" t="s">
        <v>1594</v>
      </c>
      <c r="D319" t="s">
        <v>43</v>
      </c>
      <c r="E319">
        <v>210305</v>
      </c>
      <c r="F319" t="s">
        <v>44</v>
      </c>
      <c r="G319" t="s">
        <v>1593</v>
      </c>
      <c r="H319" t="str">
        <f t="shared" si="8"/>
        <v>0926/2019</v>
      </c>
      <c r="I319" t="s">
        <v>2410</v>
      </c>
      <c r="L319" t="s">
        <v>1581</v>
      </c>
      <c r="M319" t="str">
        <f t="shared" si="9"/>
        <v>projectCollections</v>
      </c>
      <c r="N319" t="s">
        <v>1577</v>
      </c>
      <c r="O319" t="s">
        <v>1582</v>
      </c>
    </row>
    <row r="320" spans="1:15" x14ac:dyDescent="0.25">
      <c r="A320" t="s">
        <v>1599</v>
      </c>
      <c r="B320" t="s">
        <v>1596</v>
      </c>
      <c r="C320" t="s">
        <v>1598</v>
      </c>
      <c r="D320" t="s">
        <v>43</v>
      </c>
      <c r="E320">
        <v>210306</v>
      </c>
      <c r="F320" t="s">
        <v>44</v>
      </c>
      <c r="G320" t="s">
        <v>1597</v>
      </c>
      <c r="H320" t="str">
        <f t="shared" si="8"/>
        <v>0926/2019</v>
      </c>
      <c r="I320" t="s">
        <v>2410</v>
      </c>
      <c r="L320" t="s">
        <v>1581</v>
      </c>
      <c r="M320" t="str">
        <f t="shared" si="9"/>
        <v>projectCollections</v>
      </c>
      <c r="N320" t="s">
        <v>1577</v>
      </c>
      <c r="O320" t="s">
        <v>1582</v>
      </c>
    </row>
    <row r="321" spans="1:15" x14ac:dyDescent="0.25">
      <c r="A321" t="s">
        <v>1603</v>
      </c>
      <c r="B321" t="s">
        <v>1600</v>
      </c>
      <c r="C321" t="s">
        <v>1602</v>
      </c>
      <c r="D321" t="s">
        <v>43</v>
      </c>
      <c r="E321">
        <v>210307</v>
      </c>
      <c r="F321" t="s">
        <v>44</v>
      </c>
      <c r="G321" t="s">
        <v>1601</v>
      </c>
      <c r="H321" t="str">
        <f t="shared" si="8"/>
        <v>0926/2019</v>
      </c>
      <c r="I321" t="s">
        <v>2410</v>
      </c>
      <c r="L321" t="s">
        <v>1581</v>
      </c>
      <c r="M321" t="str">
        <f t="shared" si="9"/>
        <v>projectCollections</v>
      </c>
      <c r="N321" t="s">
        <v>1577</v>
      </c>
      <c r="O321" t="s">
        <v>1582</v>
      </c>
    </row>
    <row r="322" spans="1:15" x14ac:dyDescent="0.25">
      <c r="A322" t="s">
        <v>1607</v>
      </c>
      <c r="B322" t="s">
        <v>1604</v>
      </c>
      <c r="C322" t="s">
        <v>1606</v>
      </c>
      <c r="D322" t="s">
        <v>43</v>
      </c>
      <c r="E322">
        <v>210308</v>
      </c>
      <c r="F322" t="s">
        <v>44</v>
      </c>
      <c r="G322" t="s">
        <v>1605</v>
      </c>
      <c r="H322" t="str">
        <f t="shared" ref="H322:H385" si="10">TEXT(DATEVALUE(LEFT(G322,10)),"MMDD/YYYY")</f>
        <v>0926/2019</v>
      </c>
      <c r="I322" t="s">
        <v>2410</v>
      </c>
      <c r="L322" t="s">
        <v>1581</v>
      </c>
      <c r="M322" t="str">
        <f t="shared" ref="M322:M385" si="11">MID(L322, 33, 18)</f>
        <v>projectCollections</v>
      </c>
      <c r="N322" t="s">
        <v>1577</v>
      </c>
      <c r="O322" t="s">
        <v>1582</v>
      </c>
    </row>
    <row r="323" spans="1:15" x14ac:dyDescent="0.25">
      <c r="A323" t="s">
        <v>1611</v>
      </c>
      <c r="B323" t="s">
        <v>1608</v>
      </c>
      <c r="C323" t="s">
        <v>1610</v>
      </c>
      <c r="D323" t="s">
        <v>43</v>
      </c>
      <c r="E323">
        <v>210309</v>
      </c>
      <c r="F323" t="s">
        <v>44</v>
      </c>
      <c r="G323" t="s">
        <v>1609</v>
      </c>
      <c r="H323" t="str">
        <f t="shared" si="10"/>
        <v>0926/2019</v>
      </c>
      <c r="I323" t="s">
        <v>2410</v>
      </c>
      <c r="L323" t="s">
        <v>1581</v>
      </c>
      <c r="M323" t="str">
        <f t="shared" si="11"/>
        <v>projectCollections</v>
      </c>
      <c r="N323" t="s">
        <v>1577</v>
      </c>
      <c r="O323" t="s">
        <v>1582</v>
      </c>
    </row>
    <row r="324" spans="1:15" x14ac:dyDescent="0.25">
      <c r="A324" t="s">
        <v>1615</v>
      </c>
      <c r="B324" t="s">
        <v>1612</v>
      </c>
      <c r="C324" t="s">
        <v>1614</v>
      </c>
      <c r="D324" t="s">
        <v>43</v>
      </c>
      <c r="E324">
        <v>210310</v>
      </c>
      <c r="F324" t="s">
        <v>44</v>
      </c>
      <c r="G324" t="s">
        <v>1613</v>
      </c>
      <c r="H324" t="str">
        <f t="shared" si="10"/>
        <v>0926/2019</v>
      </c>
      <c r="I324" t="s">
        <v>2410</v>
      </c>
      <c r="L324" t="s">
        <v>1581</v>
      </c>
      <c r="M324" t="str">
        <f t="shared" si="11"/>
        <v>projectCollections</v>
      </c>
      <c r="N324" t="s">
        <v>1577</v>
      </c>
      <c r="O324" t="s">
        <v>1582</v>
      </c>
    </row>
    <row r="325" spans="1:15" x14ac:dyDescent="0.25">
      <c r="A325" t="s">
        <v>1619</v>
      </c>
      <c r="B325" t="s">
        <v>1616</v>
      </c>
      <c r="C325" t="s">
        <v>1618</v>
      </c>
      <c r="D325" t="s">
        <v>43</v>
      </c>
      <c r="E325">
        <v>210311</v>
      </c>
      <c r="F325" t="s">
        <v>44</v>
      </c>
      <c r="G325" t="s">
        <v>1617</v>
      </c>
      <c r="H325" t="str">
        <f t="shared" si="10"/>
        <v>0926/2019</v>
      </c>
      <c r="I325" t="s">
        <v>2410</v>
      </c>
      <c r="L325" t="s">
        <v>1581</v>
      </c>
      <c r="M325" t="str">
        <f t="shared" si="11"/>
        <v>projectCollections</v>
      </c>
      <c r="N325" t="s">
        <v>1577</v>
      </c>
      <c r="O325" t="s">
        <v>1582</v>
      </c>
    </row>
    <row r="326" spans="1:15" x14ac:dyDescent="0.25">
      <c r="A326" t="s">
        <v>1623</v>
      </c>
      <c r="B326" t="s">
        <v>1620</v>
      </c>
      <c r="C326" t="s">
        <v>1622</v>
      </c>
      <c r="D326" t="s">
        <v>43</v>
      </c>
      <c r="E326">
        <v>210312</v>
      </c>
      <c r="F326" t="s">
        <v>44</v>
      </c>
      <c r="G326" t="s">
        <v>1621</v>
      </c>
      <c r="H326" t="str">
        <f t="shared" si="10"/>
        <v>0926/2019</v>
      </c>
      <c r="I326" t="s">
        <v>2410</v>
      </c>
      <c r="L326" t="s">
        <v>1581</v>
      </c>
      <c r="M326" t="str">
        <f t="shared" si="11"/>
        <v>projectCollections</v>
      </c>
      <c r="N326" t="s">
        <v>1577</v>
      </c>
      <c r="O326" t="s">
        <v>1582</v>
      </c>
    </row>
    <row r="327" spans="1:15" x14ac:dyDescent="0.25">
      <c r="A327" t="s">
        <v>1627</v>
      </c>
      <c r="B327" t="s">
        <v>1624</v>
      </c>
      <c r="C327" t="s">
        <v>1626</v>
      </c>
      <c r="D327" t="s">
        <v>43</v>
      </c>
      <c r="E327">
        <v>210313</v>
      </c>
      <c r="F327" t="s">
        <v>44</v>
      </c>
      <c r="G327" t="s">
        <v>1625</v>
      </c>
      <c r="H327" t="str">
        <f t="shared" si="10"/>
        <v>0926/2019</v>
      </c>
      <c r="I327" t="s">
        <v>2410</v>
      </c>
      <c r="L327" t="s">
        <v>1581</v>
      </c>
      <c r="M327" t="str">
        <f t="shared" si="11"/>
        <v>projectCollections</v>
      </c>
      <c r="N327" t="s">
        <v>1577</v>
      </c>
      <c r="O327" t="s">
        <v>1582</v>
      </c>
    </row>
    <row r="328" spans="1:15" x14ac:dyDescent="0.25">
      <c r="A328" t="s">
        <v>1631</v>
      </c>
      <c r="B328" t="s">
        <v>1628</v>
      </c>
      <c r="C328" t="s">
        <v>1630</v>
      </c>
      <c r="D328" t="s">
        <v>43</v>
      </c>
      <c r="E328">
        <v>210314</v>
      </c>
      <c r="F328" t="s">
        <v>44</v>
      </c>
      <c r="G328" t="s">
        <v>1629</v>
      </c>
      <c r="H328" t="str">
        <f t="shared" si="10"/>
        <v>0926/2019</v>
      </c>
      <c r="I328" t="s">
        <v>2410</v>
      </c>
      <c r="L328" t="s">
        <v>1581</v>
      </c>
      <c r="M328" t="str">
        <f t="shared" si="11"/>
        <v>projectCollections</v>
      </c>
      <c r="N328" t="s">
        <v>1577</v>
      </c>
      <c r="O328" t="s">
        <v>1582</v>
      </c>
    </row>
    <row r="329" spans="1:15" x14ac:dyDescent="0.25">
      <c r="A329" t="s">
        <v>1635</v>
      </c>
      <c r="B329" t="s">
        <v>1632</v>
      </c>
      <c r="C329" t="s">
        <v>1634</v>
      </c>
      <c r="D329" t="s">
        <v>43</v>
      </c>
      <c r="E329">
        <v>210315</v>
      </c>
      <c r="F329" t="s">
        <v>44</v>
      </c>
      <c r="G329" t="s">
        <v>1633</v>
      </c>
      <c r="H329" t="str">
        <f t="shared" si="10"/>
        <v>0926/2019</v>
      </c>
      <c r="I329" t="s">
        <v>2410</v>
      </c>
      <c r="L329" t="s">
        <v>1581</v>
      </c>
      <c r="M329" t="str">
        <f t="shared" si="11"/>
        <v>projectCollections</v>
      </c>
      <c r="N329" t="s">
        <v>1577</v>
      </c>
      <c r="O329" t="s">
        <v>1582</v>
      </c>
    </row>
    <row r="330" spans="1:15" x14ac:dyDescent="0.25">
      <c r="A330" t="s">
        <v>1639</v>
      </c>
      <c r="B330" t="s">
        <v>1636</v>
      </c>
      <c r="C330" t="s">
        <v>1638</v>
      </c>
      <c r="D330" t="s">
        <v>43</v>
      </c>
      <c r="E330">
        <v>210316</v>
      </c>
      <c r="F330" t="s">
        <v>44</v>
      </c>
      <c r="G330" t="s">
        <v>1637</v>
      </c>
      <c r="H330" t="str">
        <f t="shared" si="10"/>
        <v>0926/2019</v>
      </c>
      <c r="I330" t="s">
        <v>2410</v>
      </c>
      <c r="L330" t="s">
        <v>1581</v>
      </c>
      <c r="M330" t="str">
        <f t="shared" si="11"/>
        <v>projectCollections</v>
      </c>
      <c r="N330" t="s">
        <v>1577</v>
      </c>
      <c r="O330" t="s">
        <v>1582</v>
      </c>
    </row>
    <row r="331" spans="1:15" x14ac:dyDescent="0.25">
      <c r="A331" t="s">
        <v>1643</v>
      </c>
      <c r="B331" t="s">
        <v>1640</v>
      </c>
      <c r="C331" t="s">
        <v>1642</v>
      </c>
      <c r="D331" t="s">
        <v>43</v>
      </c>
      <c r="E331">
        <v>210317</v>
      </c>
      <c r="F331" t="s">
        <v>44</v>
      </c>
      <c r="G331" t="s">
        <v>1641</v>
      </c>
      <c r="H331" t="str">
        <f t="shared" si="10"/>
        <v>0926/2019</v>
      </c>
      <c r="I331" t="s">
        <v>2410</v>
      </c>
      <c r="L331" t="s">
        <v>1581</v>
      </c>
      <c r="M331" t="str">
        <f t="shared" si="11"/>
        <v>projectCollections</v>
      </c>
      <c r="N331" t="s">
        <v>1577</v>
      </c>
      <c r="O331" t="s">
        <v>1582</v>
      </c>
    </row>
    <row r="332" spans="1:15" x14ac:dyDescent="0.25">
      <c r="A332" t="s">
        <v>1647</v>
      </c>
      <c r="B332" t="s">
        <v>1644</v>
      </c>
      <c r="C332" t="s">
        <v>1646</v>
      </c>
      <c r="D332" t="s">
        <v>43</v>
      </c>
      <c r="E332">
        <v>210318</v>
      </c>
      <c r="F332" t="s">
        <v>44</v>
      </c>
      <c r="G332" t="s">
        <v>1645</v>
      </c>
      <c r="H332" t="str">
        <f t="shared" si="10"/>
        <v>0926/2019</v>
      </c>
      <c r="I332" t="s">
        <v>2410</v>
      </c>
      <c r="L332" t="s">
        <v>1581</v>
      </c>
      <c r="M332" t="str">
        <f t="shared" si="11"/>
        <v>projectCollections</v>
      </c>
      <c r="N332" t="s">
        <v>1577</v>
      </c>
      <c r="O332" t="s">
        <v>1582</v>
      </c>
    </row>
    <row r="333" spans="1:15" x14ac:dyDescent="0.25">
      <c r="A333" t="s">
        <v>1651</v>
      </c>
      <c r="B333" t="s">
        <v>1648</v>
      </c>
      <c r="C333" t="s">
        <v>1650</v>
      </c>
      <c r="D333" t="s">
        <v>43</v>
      </c>
      <c r="E333">
        <v>210319</v>
      </c>
      <c r="F333" t="s">
        <v>44</v>
      </c>
      <c r="G333" t="s">
        <v>1649</v>
      </c>
      <c r="H333" t="str">
        <f t="shared" si="10"/>
        <v>0926/2019</v>
      </c>
      <c r="I333" t="s">
        <v>2410</v>
      </c>
      <c r="L333" t="s">
        <v>1581</v>
      </c>
      <c r="M333" t="str">
        <f t="shared" si="11"/>
        <v>projectCollections</v>
      </c>
      <c r="N333" t="s">
        <v>1577</v>
      </c>
      <c r="O333" t="s">
        <v>1582</v>
      </c>
    </row>
    <row r="334" spans="1:15" x14ac:dyDescent="0.25">
      <c r="A334" t="s">
        <v>1655</v>
      </c>
      <c r="B334" t="s">
        <v>1652</v>
      </c>
      <c r="C334" t="s">
        <v>1654</v>
      </c>
      <c r="D334" t="s">
        <v>43</v>
      </c>
      <c r="E334">
        <v>210320</v>
      </c>
      <c r="F334" t="s">
        <v>44</v>
      </c>
      <c r="G334" t="s">
        <v>1653</v>
      </c>
      <c r="H334" t="str">
        <f t="shared" si="10"/>
        <v>0926/2019</v>
      </c>
      <c r="I334" t="s">
        <v>2410</v>
      </c>
      <c r="L334" t="s">
        <v>1581</v>
      </c>
      <c r="M334" t="str">
        <f t="shared" si="11"/>
        <v>projectCollections</v>
      </c>
      <c r="N334" t="s">
        <v>1577</v>
      </c>
      <c r="O334" t="s">
        <v>1582</v>
      </c>
    </row>
    <row r="335" spans="1:15" x14ac:dyDescent="0.25">
      <c r="A335" t="s">
        <v>1671</v>
      </c>
      <c r="B335" t="s">
        <v>1668</v>
      </c>
      <c r="C335" t="s">
        <v>1670</v>
      </c>
      <c r="D335" t="s">
        <v>43</v>
      </c>
      <c r="E335">
        <v>210321</v>
      </c>
      <c r="F335" t="s">
        <v>44</v>
      </c>
      <c r="G335" t="s">
        <v>1669</v>
      </c>
      <c r="H335" t="str">
        <f t="shared" si="10"/>
        <v>0926/2019</v>
      </c>
      <c r="I335" t="s">
        <v>2410</v>
      </c>
      <c r="L335" t="s">
        <v>1581</v>
      </c>
      <c r="M335" t="str">
        <f t="shared" si="11"/>
        <v>projectCollections</v>
      </c>
      <c r="N335" t="s">
        <v>1577</v>
      </c>
      <c r="O335" t="s">
        <v>1582</v>
      </c>
    </row>
    <row r="336" spans="1:15" x14ac:dyDescent="0.25">
      <c r="A336" t="s">
        <v>1675</v>
      </c>
      <c r="B336" t="s">
        <v>1672</v>
      </c>
      <c r="C336" t="s">
        <v>1674</v>
      </c>
      <c r="D336" t="s">
        <v>43</v>
      </c>
      <c r="E336">
        <v>210322</v>
      </c>
      <c r="F336" t="s">
        <v>44</v>
      </c>
      <c r="G336" t="s">
        <v>1673</v>
      </c>
      <c r="H336" t="str">
        <f t="shared" si="10"/>
        <v>0926/2019</v>
      </c>
      <c r="I336" t="s">
        <v>2410</v>
      </c>
      <c r="L336" t="s">
        <v>1581</v>
      </c>
      <c r="M336" t="str">
        <f t="shared" si="11"/>
        <v>projectCollections</v>
      </c>
      <c r="N336" t="s">
        <v>1577</v>
      </c>
      <c r="O336" t="s">
        <v>1582</v>
      </c>
    </row>
    <row r="337" spans="1:15" x14ac:dyDescent="0.25">
      <c r="A337" t="s">
        <v>1679</v>
      </c>
      <c r="B337" t="s">
        <v>1676</v>
      </c>
      <c r="C337" t="s">
        <v>1678</v>
      </c>
      <c r="D337" t="s">
        <v>43</v>
      </c>
      <c r="E337">
        <v>210323</v>
      </c>
      <c r="F337" t="s">
        <v>44</v>
      </c>
      <c r="G337" t="s">
        <v>1677</v>
      </c>
      <c r="H337" t="str">
        <f t="shared" si="10"/>
        <v>0926/2019</v>
      </c>
      <c r="I337" t="s">
        <v>2410</v>
      </c>
      <c r="L337" t="s">
        <v>1581</v>
      </c>
      <c r="M337" t="str">
        <f t="shared" si="11"/>
        <v>projectCollections</v>
      </c>
      <c r="N337" t="s">
        <v>1577</v>
      </c>
      <c r="O337" t="s">
        <v>1582</v>
      </c>
    </row>
    <row r="338" spans="1:15" x14ac:dyDescent="0.25">
      <c r="A338" t="s">
        <v>1683</v>
      </c>
      <c r="B338" t="s">
        <v>1680</v>
      </c>
      <c r="C338" t="s">
        <v>1682</v>
      </c>
      <c r="D338" t="s">
        <v>43</v>
      </c>
      <c r="E338">
        <v>210324</v>
      </c>
      <c r="F338" t="s">
        <v>44</v>
      </c>
      <c r="G338" t="s">
        <v>1681</v>
      </c>
      <c r="H338" t="str">
        <f t="shared" si="10"/>
        <v>0926/2019</v>
      </c>
      <c r="I338" t="s">
        <v>2410</v>
      </c>
      <c r="L338" t="s">
        <v>1581</v>
      </c>
      <c r="M338" t="str">
        <f t="shared" si="11"/>
        <v>projectCollections</v>
      </c>
      <c r="N338" t="s">
        <v>1577</v>
      </c>
      <c r="O338" t="s">
        <v>1582</v>
      </c>
    </row>
    <row r="339" spans="1:15" x14ac:dyDescent="0.25">
      <c r="A339" t="s">
        <v>1687</v>
      </c>
      <c r="B339" t="s">
        <v>1684</v>
      </c>
      <c r="C339" t="s">
        <v>1686</v>
      </c>
      <c r="D339" t="s">
        <v>43</v>
      </c>
      <c r="E339">
        <v>210325</v>
      </c>
      <c r="F339" t="s">
        <v>44</v>
      </c>
      <c r="G339" t="s">
        <v>1685</v>
      </c>
      <c r="H339" t="str">
        <f t="shared" si="10"/>
        <v>0926/2019</v>
      </c>
      <c r="I339" t="s">
        <v>2410</v>
      </c>
      <c r="L339" t="s">
        <v>1581</v>
      </c>
      <c r="M339" t="str">
        <f t="shared" si="11"/>
        <v>projectCollections</v>
      </c>
      <c r="N339" t="s">
        <v>1577</v>
      </c>
      <c r="O339" t="s">
        <v>1582</v>
      </c>
    </row>
    <row r="340" spans="1:15" x14ac:dyDescent="0.25">
      <c r="A340" t="s">
        <v>1691</v>
      </c>
      <c r="B340" t="s">
        <v>1688</v>
      </c>
      <c r="C340" t="s">
        <v>1690</v>
      </c>
      <c r="D340" t="s">
        <v>43</v>
      </c>
      <c r="E340">
        <v>210326</v>
      </c>
      <c r="F340" t="s">
        <v>44</v>
      </c>
      <c r="G340" t="s">
        <v>1689</v>
      </c>
      <c r="H340" t="str">
        <f t="shared" si="10"/>
        <v>0926/2019</v>
      </c>
      <c r="I340" t="s">
        <v>2410</v>
      </c>
      <c r="L340" t="s">
        <v>1581</v>
      </c>
      <c r="M340" t="str">
        <f t="shared" si="11"/>
        <v>projectCollections</v>
      </c>
      <c r="N340" t="s">
        <v>1577</v>
      </c>
      <c r="O340" t="s">
        <v>1582</v>
      </c>
    </row>
    <row r="341" spans="1:15" x14ac:dyDescent="0.25">
      <c r="A341" t="s">
        <v>1695</v>
      </c>
      <c r="B341" t="s">
        <v>1692</v>
      </c>
      <c r="C341" t="s">
        <v>1694</v>
      </c>
      <c r="D341" t="s">
        <v>43</v>
      </c>
      <c r="E341">
        <v>210327</v>
      </c>
      <c r="F341" t="s">
        <v>44</v>
      </c>
      <c r="G341" t="s">
        <v>1693</v>
      </c>
      <c r="H341" t="str">
        <f t="shared" si="10"/>
        <v>0926/2019</v>
      </c>
      <c r="I341" t="s">
        <v>2410</v>
      </c>
      <c r="L341" t="s">
        <v>1581</v>
      </c>
      <c r="M341" t="str">
        <f t="shared" si="11"/>
        <v>projectCollections</v>
      </c>
      <c r="N341" t="s">
        <v>1577</v>
      </c>
      <c r="O341" t="s">
        <v>1582</v>
      </c>
    </row>
    <row r="342" spans="1:15" x14ac:dyDescent="0.25">
      <c r="A342" t="s">
        <v>1699</v>
      </c>
      <c r="B342" t="s">
        <v>1696</v>
      </c>
      <c r="C342" t="s">
        <v>1698</v>
      </c>
      <c r="D342" t="s">
        <v>43</v>
      </c>
      <c r="E342">
        <v>210328</v>
      </c>
      <c r="F342" t="s">
        <v>44</v>
      </c>
      <c r="G342" t="s">
        <v>1697</v>
      </c>
      <c r="H342" t="str">
        <f t="shared" si="10"/>
        <v>0926/2019</v>
      </c>
      <c r="I342" t="s">
        <v>2410</v>
      </c>
      <c r="L342" t="s">
        <v>1581</v>
      </c>
      <c r="M342" t="str">
        <f t="shared" si="11"/>
        <v>projectCollections</v>
      </c>
      <c r="N342" t="s">
        <v>1577</v>
      </c>
      <c r="O342" t="s">
        <v>1582</v>
      </c>
    </row>
    <row r="343" spans="1:15" x14ac:dyDescent="0.25">
      <c r="A343" t="s">
        <v>1703</v>
      </c>
      <c r="B343" t="s">
        <v>1700</v>
      </c>
      <c r="C343" t="s">
        <v>1702</v>
      </c>
      <c r="D343" t="s">
        <v>43</v>
      </c>
      <c r="E343">
        <v>210329</v>
      </c>
      <c r="F343" t="s">
        <v>44</v>
      </c>
      <c r="G343" t="s">
        <v>1701</v>
      </c>
      <c r="H343" t="str">
        <f t="shared" si="10"/>
        <v>0926/2019</v>
      </c>
      <c r="I343" t="s">
        <v>2410</v>
      </c>
      <c r="L343" t="s">
        <v>1581</v>
      </c>
      <c r="M343" t="str">
        <f t="shared" si="11"/>
        <v>projectCollections</v>
      </c>
      <c r="N343" t="s">
        <v>1577</v>
      </c>
      <c r="O343" t="s">
        <v>1582</v>
      </c>
    </row>
    <row r="344" spans="1:15" x14ac:dyDescent="0.25">
      <c r="A344" t="s">
        <v>1707</v>
      </c>
      <c r="B344" t="s">
        <v>1704</v>
      </c>
      <c r="C344" t="s">
        <v>1706</v>
      </c>
      <c r="D344" t="s">
        <v>43</v>
      </c>
      <c r="E344">
        <v>210330</v>
      </c>
      <c r="F344" t="s">
        <v>44</v>
      </c>
      <c r="G344" t="s">
        <v>1705</v>
      </c>
      <c r="H344" t="str">
        <f t="shared" si="10"/>
        <v>0926/2019</v>
      </c>
      <c r="I344" t="s">
        <v>2410</v>
      </c>
      <c r="L344" t="s">
        <v>1581</v>
      </c>
      <c r="M344" t="str">
        <f t="shared" si="11"/>
        <v>projectCollections</v>
      </c>
      <c r="N344" t="s">
        <v>1577</v>
      </c>
      <c r="O344" t="s">
        <v>1582</v>
      </c>
    </row>
    <row r="345" spans="1:15" x14ac:dyDescent="0.25">
      <c r="A345" t="s">
        <v>1711</v>
      </c>
      <c r="B345" t="s">
        <v>1708</v>
      </c>
      <c r="C345" t="s">
        <v>1710</v>
      </c>
      <c r="D345" t="s">
        <v>43</v>
      </c>
      <c r="E345">
        <v>210331</v>
      </c>
      <c r="F345" t="s">
        <v>44</v>
      </c>
      <c r="G345" t="s">
        <v>1709</v>
      </c>
      <c r="H345" t="str">
        <f t="shared" si="10"/>
        <v>0926/2019</v>
      </c>
      <c r="I345" t="s">
        <v>2410</v>
      </c>
      <c r="L345" t="s">
        <v>1581</v>
      </c>
      <c r="M345" t="str">
        <f t="shared" si="11"/>
        <v>projectCollections</v>
      </c>
      <c r="N345" t="s">
        <v>1577</v>
      </c>
      <c r="O345" t="s">
        <v>1582</v>
      </c>
    </row>
    <row r="346" spans="1:15" x14ac:dyDescent="0.25">
      <c r="A346" t="s">
        <v>1715</v>
      </c>
      <c r="B346" t="s">
        <v>1712</v>
      </c>
      <c r="C346" t="s">
        <v>1714</v>
      </c>
      <c r="D346" t="s">
        <v>43</v>
      </c>
      <c r="E346">
        <v>210332</v>
      </c>
      <c r="F346" t="s">
        <v>44</v>
      </c>
      <c r="G346" t="s">
        <v>1713</v>
      </c>
      <c r="H346" t="str">
        <f t="shared" si="10"/>
        <v>0926/2019</v>
      </c>
      <c r="I346" t="s">
        <v>2410</v>
      </c>
      <c r="L346" t="s">
        <v>1581</v>
      </c>
      <c r="M346" t="str">
        <f t="shared" si="11"/>
        <v>projectCollections</v>
      </c>
      <c r="N346" t="s">
        <v>1577</v>
      </c>
      <c r="O346" t="s">
        <v>1582</v>
      </c>
    </row>
    <row r="347" spans="1:15" x14ac:dyDescent="0.25">
      <c r="A347" t="s">
        <v>1719</v>
      </c>
      <c r="B347" t="s">
        <v>1716</v>
      </c>
      <c r="C347" t="s">
        <v>1718</v>
      </c>
      <c r="D347" t="s">
        <v>43</v>
      </c>
      <c r="E347">
        <v>210333</v>
      </c>
      <c r="F347" t="s">
        <v>44</v>
      </c>
      <c r="G347" t="s">
        <v>1717</v>
      </c>
      <c r="H347" t="str">
        <f t="shared" si="10"/>
        <v>0926/2019</v>
      </c>
      <c r="I347" t="s">
        <v>2410</v>
      </c>
      <c r="L347" t="s">
        <v>1581</v>
      </c>
      <c r="M347" t="str">
        <f t="shared" si="11"/>
        <v>projectCollections</v>
      </c>
      <c r="N347" t="s">
        <v>1577</v>
      </c>
      <c r="O347" t="s">
        <v>1582</v>
      </c>
    </row>
    <row r="348" spans="1:15" x14ac:dyDescent="0.25">
      <c r="A348" t="s">
        <v>1723</v>
      </c>
      <c r="B348" t="s">
        <v>1720</v>
      </c>
      <c r="C348" t="s">
        <v>1722</v>
      </c>
      <c r="D348" t="s">
        <v>43</v>
      </c>
      <c r="E348">
        <v>210334</v>
      </c>
      <c r="F348" t="s">
        <v>44</v>
      </c>
      <c r="G348" t="s">
        <v>1721</v>
      </c>
      <c r="H348" t="str">
        <f t="shared" si="10"/>
        <v>0926/2019</v>
      </c>
      <c r="I348" t="s">
        <v>2410</v>
      </c>
      <c r="L348" t="s">
        <v>1581</v>
      </c>
      <c r="M348" t="str">
        <f t="shared" si="11"/>
        <v>projectCollections</v>
      </c>
      <c r="N348" t="s">
        <v>1577</v>
      </c>
      <c r="O348" t="s">
        <v>1582</v>
      </c>
    </row>
    <row r="349" spans="1:15" x14ac:dyDescent="0.25">
      <c r="A349" t="s">
        <v>1727</v>
      </c>
      <c r="B349" t="s">
        <v>1724</v>
      </c>
      <c r="C349" t="s">
        <v>1726</v>
      </c>
      <c r="D349" t="s">
        <v>43</v>
      </c>
      <c r="E349">
        <v>210335</v>
      </c>
      <c r="F349" t="s">
        <v>44</v>
      </c>
      <c r="G349" t="s">
        <v>1725</v>
      </c>
      <c r="H349" t="str">
        <f t="shared" si="10"/>
        <v>0926/2019</v>
      </c>
      <c r="I349" t="s">
        <v>2410</v>
      </c>
      <c r="L349" t="s">
        <v>1581</v>
      </c>
      <c r="M349" t="str">
        <f t="shared" si="11"/>
        <v>projectCollections</v>
      </c>
      <c r="N349" t="s">
        <v>1577</v>
      </c>
      <c r="O349" t="s">
        <v>1582</v>
      </c>
    </row>
    <row r="350" spans="1:15" x14ac:dyDescent="0.25">
      <c r="A350" t="s">
        <v>1731</v>
      </c>
      <c r="B350" t="s">
        <v>1728</v>
      </c>
      <c r="C350" t="s">
        <v>1730</v>
      </c>
      <c r="D350" t="s">
        <v>43</v>
      </c>
      <c r="E350">
        <v>210336</v>
      </c>
      <c r="F350" t="s">
        <v>44</v>
      </c>
      <c r="G350" t="s">
        <v>1729</v>
      </c>
      <c r="H350" t="str">
        <f t="shared" si="10"/>
        <v>0926/2019</v>
      </c>
      <c r="I350" t="s">
        <v>2410</v>
      </c>
      <c r="L350" t="s">
        <v>1581</v>
      </c>
      <c r="M350" t="str">
        <f t="shared" si="11"/>
        <v>projectCollections</v>
      </c>
      <c r="N350" t="s">
        <v>1577</v>
      </c>
      <c r="O350" t="s">
        <v>1582</v>
      </c>
    </row>
    <row r="351" spans="1:15" x14ac:dyDescent="0.25">
      <c r="A351" t="s">
        <v>1735</v>
      </c>
      <c r="B351" t="s">
        <v>1732</v>
      </c>
      <c r="C351" t="s">
        <v>1734</v>
      </c>
      <c r="D351" t="s">
        <v>43</v>
      </c>
      <c r="E351">
        <v>210337</v>
      </c>
      <c r="F351" t="s">
        <v>44</v>
      </c>
      <c r="G351" t="s">
        <v>1733</v>
      </c>
      <c r="H351" t="str">
        <f t="shared" si="10"/>
        <v>0926/2019</v>
      </c>
      <c r="I351" t="s">
        <v>2410</v>
      </c>
      <c r="L351" t="s">
        <v>1581</v>
      </c>
      <c r="M351" t="str">
        <f t="shared" si="11"/>
        <v>projectCollections</v>
      </c>
      <c r="N351" t="s">
        <v>1577</v>
      </c>
      <c r="O351" t="s">
        <v>1582</v>
      </c>
    </row>
    <row r="352" spans="1:15" x14ac:dyDescent="0.25">
      <c r="A352" t="s">
        <v>1739</v>
      </c>
      <c r="B352" t="s">
        <v>1736</v>
      </c>
      <c r="C352" t="s">
        <v>1738</v>
      </c>
      <c r="D352" t="s">
        <v>43</v>
      </c>
      <c r="E352">
        <v>210338</v>
      </c>
      <c r="F352" t="s">
        <v>44</v>
      </c>
      <c r="G352" t="s">
        <v>1737</v>
      </c>
      <c r="H352" t="str">
        <f t="shared" si="10"/>
        <v>0926/2019</v>
      </c>
      <c r="I352" t="s">
        <v>2410</v>
      </c>
      <c r="L352" t="s">
        <v>1581</v>
      </c>
      <c r="M352" t="str">
        <f t="shared" si="11"/>
        <v>projectCollections</v>
      </c>
      <c r="N352" t="s">
        <v>1577</v>
      </c>
      <c r="O352" t="s">
        <v>1582</v>
      </c>
    </row>
    <row r="353" spans="1:15" x14ac:dyDescent="0.25">
      <c r="A353" t="s">
        <v>1743</v>
      </c>
      <c r="B353" t="s">
        <v>1740</v>
      </c>
      <c r="C353" t="s">
        <v>1742</v>
      </c>
      <c r="D353" t="s">
        <v>43</v>
      </c>
      <c r="E353">
        <v>210339</v>
      </c>
      <c r="F353" t="s">
        <v>44</v>
      </c>
      <c r="G353" t="s">
        <v>1741</v>
      </c>
      <c r="H353" t="str">
        <f t="shared" si="10"/>
        <v>0926/2019</v>
      </c>
      <c r="I353" t="s">
        <v>2410</v>
      </c>
      <c r="L353" t="s">
        <v>1581</v>
      </c>
      <c r="M353" t="str">
        <f t="shared" si="11"/>
        <v>projectCollections</v>
      </c>
      <c r="N353" t="s">
        <v>1577</v>
      </c>
      <c r="O353" t="s">
        <v>1582</v>
      </c>
    </row>
    <row r="354" spans="1:15" x14ac:dyDescent="0.25">
      <c r="A354" t="s">
        <v>1747</v>
      </c>
      <c r="B354" t="s">
        <v>1744</v>
      </c>
      <c r="C354" t="s">
        <v>1746</v>
      </c>
      <c r="D354" t="s">
        <v>43</v>
      </c>
      <c r="E354">
        <v>210340</v>
      </c>
      <c r="F354" t="s">
        <v>44</v>
      </c>
      <c r="G354" t="s">
        <v>1745</v>
      </c>
      <c r="H354" t="str">
        <f t="shared" si="10"/>
        <v>0926/2019</v>
      </c>
      <c r="I354" t="s">
        <v>2410</v>
      </c>
      <c r="L354" t="s">
        <v>1581</v>
      </c>
      <c r="M354" t="str">
        <f t="shared" si="11"/>
        <v>projectCollections</v>
      </c>
      <c r="N354" t="s">
        <v>1577</v>
      </c>
      <c r="O354" t="s">
        <v>1582</v>
      </c>
    </row>
    <row r="355" spans="1:15" x14ac:dyDescent="0.25">
      <c r="A355" t="s">
        <v>1751</v>
      </c>
      <c r="B355" t="s">
        <v>1748</v>
      </c>
      <c r="C355" t="s">
        <v>1750</v>
      </c>
      <c r="D355" t="s">
        <v>43</v>
      </c>
      <c r="E355">
        <v>210341</v>
      </c>
      <c r="F355" t="s">
        <v>44</v>
      </c>
      <c r="G355" t="s">
        <v>1749</v>
      </c>
      <c r="H355" t="str">
        <f t="shared" si="10"/>
        <v>0926/2019</v>
      </c>
      <c r="I355" t="s">
        <v>2410</v>
      </c>
      <c r="L355" t="s">
        <v>1581</v>
      </c>
      <c r="M355" t="str">
        <f t="shared" si="11"/>
        <v>projectCollections</v>
      </c>
      <c r="N355" t="s">
        <v>1577</v>
      </c>
      <c r="O355" t="s">
        <v>1582</v>
      </c>
    </row>
    <row r="356" spans="1:15" x14ac:dyDescent="0.25">
      <c r="A356" t="s">
        <v>1755</v>
      </c>
      <c r="B356" t="s">
        <v>1752</v>
      </c>
      <c r="C356" t="s">
        <v>1754</v>
      </c>
      <c r="D356" t="s">
        <v>43</v>
      </c>
      <c r="E356">
        <v>210342</v>
      </c>
      <c r="F356" t="s">
        <v>44</v>
      </c>
      <c r="G356" t="s">
        <v>1753</v>
      </c>
      <c r="H356" t="str">
        <f t="shared" si="10"/>
        <v>0926/2019</v>
      </c>
      <c r="I356" t="s">
        <v>2410</v>
      </c>
      <c r="L356" t="s">
        <v>1581</v>
      </c>
      <c r="M356" t="str">
        <f t="shared" si="11"/>
        <v>projectCollections</v>
      </c>
      <c r="N356" t="s">
        <v>1577</v>
      </c>
      <c r="O356" t="s">
        <v>1582</v>
      </c>
    </row>
    <row r="357" spans="1:15" x14ac:dyDescent="0.25">
      <c r="A357" t="s">
        <v>1759</v>
      </c>
      <c r="B357" t="s">
        <v>1756</v>
      </c>
      <c r="C357" t="s">
        <v>1758</v>
      </c>
      <c r="D357" t="s">
        <v>43</v>
      </c>
      <c r="E357">
        <v>210343</v>
      </c>
      <c r="F357" t="s">
        <v>44</v>
      </c>
      <c r="G357" t="s">
        <v>1757</v>
      </c>
      <c r="H357" t="str">
        <f t="shared" si="10"/>
        <v>0926/2019</v>
      </c>
      <c r="I357" t="s">
        <v>2410</v>
      </c>
      <c r="L357" t="s">
        <v>1581</v>
      </c>
      <c r="M357" t="str">
        <f t="shared" si="11"/>
        <v>projectCollections</v>
      </c>
      <c r="N357" t="s">
        <v>1577</v>
      </c>
      <c r="O357" t="s">
        <v>1582</v>
      </c>
    </row>
    <row r="358" spans="1:15" x14ac:dyDescent="0.25">
      <c r="A358" t="s">
        <v>1763</v>
      </c>
      <c r="B358" t="s">
        <v>1760</v>
      </c>
      <c r="C358" t="s">
        <v>1762</v>
      </c>
      <c r="D358" t="s">
        <v>43</v>
      </c>
      <c r="E358">
        <v>210344</v>
      </c>
      <c r="F358" t="s">
        <v>44</v>
      </c>
      <c r="G358" t="s">
        <v>1761</v>
      </c>
      <c r="H358" t="str">
        <f t="shared" si="10"/>
        <v>0926/2019</v>
      </c>
      <c r="I358" t="s">
        <v>2410</v>
      </c>
      <c r="L358" t="s">
        <v>1581</v>
      </c>
      <c r="M358" t="str">
        <f t="shared" si="11"/>
        <v>projectCollections</v>
      </c>
      <c r="N358" t="s">
        <v>1577</v>
      </c>
      <c r="O358" t="s">
        <v>1582</v>
      </c>
    </row>
    <row r="359" spans="1:15" x14ac:dyDescent="0.25">
      <c r="A359" t="s">
        <v>1767</v>
      </c>
      <c r="B359" t="s">
        <v>1764</v>
      </c>
      <c r="C359" t="s">
        <v>1766</v>
      </c>
      <c r="D359" t="s">
        <v>43</v>
      </c>
      <c r="E359">
        <v>210345</v>
      </c>
      <c r="F359" t="s">
        <v>44</v>
      </c>
      <c r="G359" t="s">
        <v>1765</v>
      </c>
      <c r="H359" t="str">
        <f t="shared" si="10"/>
        <v>0926/2019</v>
      </c>
      <c r="I359" t="s">
        <v>2410</v>
      </c>
      <c r="L359" t="s">
        <v>1581</v>
      </c>
      <c r="M359" t="str">
        <f t="shared" si="11"/>
        <v>projectCollections</v>
      </c>
      <c r="N359" t="s">
        <v>1577</v>
      </c>
      <c r="O359" t="s">
        <v>1582</v>
      </c>
    </row>
    <row r="360" spans="1:15" x14ac:dyDescent="0.25">
      <c r="A360" t="s">
        <v>1771</v>
      </c>
      <c r="B360" t="s">
        <v>1768</v>
      </c>
      <c r="C360" t="s">
        <v>1770</v>
      </c>
      <c r="D360" t="s">
        <v>43</v>
      </c>
      <c r="E360">
        <v>210346</v>
      </c>
      <c r="F360" t="s">
        <v>44</v>
      </c>
      <c r="G360" t="s">
        <v>1769</v>
      </c>
      <c r="H360" t="str">
        <f t="shared" si="10"/>
        <v>0926/2019</v>
      </c>
      <c r="I360" t="s">
        <v>2410</v>
      </c>
      <c r="L360" t="s">
        <v>1581</v>
      </c>
      <c r="M360" t="str">
        <f t="shared" si="11"/>
        <v>projectCollections</v>
      </c>
      <c r="N360" t="s">
        <v>1577</v>
      </c>
      <c r="O360" t="s">
        <v>1582</v>
      </c>
    </row>
    <row r="361" spans="1:15" x14ac:dyDescent="0.25">
      <c r="A361" t="s">
        <v>1775</v>
      </c>
      <c r="B361" t="s">
        <v>1772</v>
      </c>
      <c r="C361" t="s">
        <v>1774</v>
      </c>
      <c r="D361" t="s">
        <v>43</v>
      </c>
      <c r="E361">
        <v>210347</v>
      </c>
      <c r="F361" t="s">
        <v>44</v>
      </c>
      <c r="G361" t="s">
        <v>1773</v>
      </c>
      <c r="H361" t="str">
        <f t="shared" si="10"/>
        <v>0926/2019</v>
      </c>
      <c r="I361" t="s">
        <v>2410</v>
      </c>
      <c r="L361" t="s">
        <v>1581</v>
      </c>
      <c r="M361" t="str">
        <f t="shared" si="11"/>
        <v>projectCollections</v>
      </c>
      <c r="N361" t="s">
        <v>1577</v>
      </c>
      <c r="O361" t="s">
        <v>1582</v>
      </c>
    </row>
    <row r="362" spans="1:15" x14ac:dyDescent="0.25">
      <c r="A362" t="s">
        <v>1779</v>
      </c>
      <c r="B362" t="s">
        <v>1776</v>
      </c>
      <c r="C362" t="s">
        <v>1778</v>
      </c>
      <c r="D362" t="s">
        <v>43</v>
      </c>
      <c r="E362">
        <v>210348</v>
      </c>
      <c r="F362" t="s">
        <v>44</v>
      </c>
      <c r="G362" t="s">
        <v>1777</v>
      </c>
      <c r="H362" t="str">
        <f t="shared" si="10"/>
        <v>0926/2019</v>
      </c>
      <c r="I362" t="s">
        <v>2410</v>
      </c>
      <c r="L362" t="s">
        <v>1581</v>
      </c>
      <c r="M362" t="str">
        <f t="shared" si="11"/>
        <v>projectCollections</v>
      </c>
      <c r="N362" t="s">
        <v>1577</v>
      </c>
      <c r="O362" t="s">
        <v>1582</v>
      </c>
    </row>
    <row r="363" spans="1:15" x14ac:dyDescent="0.25">
      <c r="A363" t="s">
        <v>1783</v>
      </c>
      <c r="B363" t="s">
        <v>1780</v>
      </c>
      <c r="C363" t="s">
        <v>1782</v>
      </c>
      <c r="D363" t="s">
        <v>43</v>
      </c>
      <c r="E363">
        <v>210349</v>
      </c>
      <c r="F363" t="s">
        <v>44</v>
      </c>
      <c r="G363" t="s">
        <v>1781</v>
      </c>
      <c r="H363" t="str">
        <f t="shared" si="10"/>
        <v>0926/2019</v>
      </c>
      <c r="I363" t="s">
        <v>2410</v>
      </c>
      <c r="L363" t="s">
        <v>1581</v>
      </c>
      <c r="M363" t="str">
        <f t="shared" si="11"/>
        <v>projectCollections</v>
      </c>
      <c r="N363" t="s">
        <v>1577</v>
      </c>
      <c r="O363" t="s">
        <v>1582</v>
      </c>
    </row>
    <row r="364" spans="1:15" x14ac:dyDescent="0.25">
      <c r="A364" t="s">
        <v>1040</v>
      </c>
      <c r="B364" t="s">
        <v>1036</v>
      </c>
      <c r="C364" t="s">
        <v>1039</v>
      </c>
      <c r="D364" t="s">
        <v>43</v>
      </c>
      <c r="E364">
        <v>84620</v>
      </c>
      <c r="F364" t="s">
        <v>44</v>
      </c>
      <c r="G364" t="s">
        <v>1038</v>
      </c>
      <c r="H364" t="str">
        <f t="shared" si="10"/>
        <v>0122/2020</v>
      </c>
      <c r="I364" t="s">
        <v>2491</v>
      </c>
      <c r="K364" t="s">
        <v>1784</v>
      </c>
      <c r="L364" t="s">
        <v>1013</v>
      </c>
      <c r="M364" t="str">
        <f t="shared" si="11"/>
        <v>projectCollections</v>
      </c>
      <c r="N364" t="s">
        <v>1007</v>
      </c>
      <c r="O364" t="s">
        <v>1014</v>
      </c>
    </row>
    <row r="365" spans="1:15" x14ac:dyDescent="0.25">
      <c r="A365" t="s">
        <v>1015</v>
      </c>
      <c r="B365" t="s">
        <v>1008</v>
      </c>
      <c r="C365" t="s">
        <v>1012</v>
      </c>
      <c r="D365" t="s">
        <v>43</v>
      </c>
      <c r="E365">
        <v>84754</v>
      </c>
      <c r="F365" t="s">
        <v>44</v>
      </c>
      <c r="G365" t="s">
        <v>1011</v>
      </c>
      <c r="H365" t="str">
        <f t="shared" si="10"/>
        <v>0129/2020</v>
      </c>
      <c r="I365" t="s">
        <v>2492</v>
      </c>
      <c r="K365" t="s">
        <v>1041</v>
      </c>
      <c r="L365" t="s">
        <v>1013</v>
      </c>
      <c r="M365" t="str">
        <f t="shared" si="11"/>
        <v>projectCollections</v>
      </c>
      <c r="N365" t="s">
        <v>1007</v>
      </c>
      <c r="O365" t="s">
        <v>1014</v>
      </c>
    </row>
    <row r="366" spans="1:15" x14ac:dyDescent="0.25">
      <c r="A366" t="s">
        <v>1146</v>
      </c>
      <c r="B366" t="s">
        <v>1143</v>
      </c>
      <c r="C366" t="s">
        <v>1145</v>
      </c>
      <c r="D366" t="s">
        <v>43</v>
      </c>
      <c r="E366">
        <v>84518</v>
      </c>
      <c r="F366" t="s">
        <v>44</v>
      </c>
      <c r="G366" t="s">
        <v>1144</v>
      </c>
      <c r="H366" t="str">
        <f t="shared" si="10"/>
        <v>0926/2019</v>
      </c>
      <c r="I366" t="s">
        <v>2410</v>
      </c>
      <c r="L366" t="s">
        <v>1013</v>
      </c>
      <c r="M366" t="str">
        <f t="shared" si="11"/>
        <v>projectCollections</v>
      </c>
      <c r="N366" t="s">
        <v>1007</v>
      </c>
      <c r="O366" t="s">
        <v>1014</v>
      </c>
    </row>
    <row r="367" spans="1:15" x14ac:dyDescent="0.25">
      <c r="A367" t="s">
        <v>1025</v>
      </c>
      <c r="B367" t="s">
        <v>1021</v>
      </c>
      <c r="C367" t="s">
        <v>1024</v>
      </c>
      <c r="D367" t="s">
        <v>43</v>
      </c>
      <c r="E367">
        <v>84697</v>
      </c>
      <c r="F367" t="s">
        <v>44</v>
      </c>
      <c r="G367" t="s">
        <v>1023</v>
      </c>
      <c r="H367" t="str">
        <f t="shared" si="10"/>
        <v>0127/2020</v>
      </c>
      <c r="I367" t="s">
        <v>2493</v>
      </c>
      <c r="K367" t="s">
        <v>1147</v>
      </c>
      <c r="L367" t="s">
        <v>1013</v>
      </c>
      <c r="M367" t="str">
        <f t="shared" si="11"/>
        <v>projectCollections</v>
      </c>
      <c r="N367" t="s">
        <v>1007</v>
      </c>
      <c r="O367" t="s">
        <v>1014</v>
      </c>
    </row>
    <row r="368" spans="1:15" x14ac:dyDescent="0.25">
      <c r="A368" t="s">
        <v>1151</v>
      </c>
      <c r="B368" t="s">
        <v>1148</v>
      </c>
      <c r="C368" t="s">
        <v>1150</v>
      </c>
      <c r="D368" t="s">
        <v>43</v>
      </c>
      <c r="E368">
        <v>84519</v>
      </c>
      <c r="F368" t="s">
        <v>44</v>
      </c>
      <c r="G368" t="s">
        <v>1149</v>
      </c>
      <c r="H368" t="str">
        <f t="shared" si="10"/>
        <v>0926/2019</v>
      </c>
      <c r="I368" t="s">
        <v>2410</v>
      </c>
      <c r="L368" t="s">
        <v>1013</v>
      </c>
      <c r="M368" t="str">
        <f t="shared" si="11"/>
        <v>projectCollections</v>
      </c>
      <c r="N368" t="s">
        <v>1007</v>
      </c>
      <c r="O368" t="s">
        <v>1014</v>
      </c>
    </row>
    <row r="369" spans="1:15" x14ac:dyDescent="0.25">
      <c r="A369" t="s">
        <v>2283</v>
      </c>
      <c r="B369" t="s">
        <v>2280</v>
      </c>
      <c r="C369" t="s">
        <v>2282</v>
      </c>
      <c r="D369" t="s">
        <v>43</v>
      </c>
      <c r="E369">
        <v>84520</v>
      </c>
      <c r="F369" t="s">
        <v>44</v>
      </c>
      <c r="G369" t="s">
        <v>2281</v>
      </c>
      <c r="H369" t="str">
        <f t="shared" si="10"/>
        <v>0926/2019</v>
      </c>
      <c r="I369" t="s">
        <v>2410</v>
      </c>
      <c r="K369" t="s">
        <v>1152</v>
      </c>
      <c r="L369" t="s">
        <v>1013</v>
      </c>
      <c r="M369" t="str">
        <f t="shared" si="11"/>
        <v>projectCollections</v>
      </c>
      <c r="N369" t="s">
        <v>1007</v>
      </c>
      <c r="O369" t="s">
        <v>1014</v>
      </c>
    </row>
    <row r="370" spans="1:15" x14ac:dyDescent="0.25">
      <c r="A370" t="s">
        <v>1162</v>
      </c>
      <c r="B370" t="s">
        <v>1159</v>
      </c>
      <c r="C370" t="s">
        <v>1161</v>
      </c>
      <c r="D370" t="s">
        <v>43</v>
      </c>
      <c r="E370">
        <v>84521</v>
      </c>
      <c r="F370" t="s">
        <v>44</v>
      </c>
      <c r="G370" t="s">
        <v>1160</v>
      </c>
      <c r="H370" t="str">
        <f t="shared" si="10"/>
        <v>0926/2019</v>
      </c>
      <c r="I370" t="s">
        <v>2410</v>
      </c>
      <c r="L370" t="s">
        <v>1013</v>
      </c>
      <c r="M370" t="str">
        <f t="shared" si="11"/>
        <v>projectCollections</v>
      </c>
      <c r="N370" t="s">
        <v>1007</v>
      </c>
      <c r="O370" t="s">
        <v>1014</v>
      </c>
    </row>
    <row r="371" spans="1:15" x14ac:dyDescent="0.25">
      <c r="A371" t="s">
        <v>2305</v>
      </c>
      <c r="B371" t="s">
        <v>2301</v>
      </c>
      <c r="C371" t="s">
        <v>2304</v>
      </c>
      <c r="D371" t="s">
        <v>43</v>
      </c>
      <c r="E371">
        <v>84577</v>
      </c>
      <c r="F371" t="s">
        <v>44</v>
      </c>
      <c r="G371" t="s">
        <v>2303</v>
      </c>
      <c r="H371" t="str">
        <f t="shared" si="10"/>
        <v>1017/2019</v>
      </c>
      <c r="I371" t="s">
        <v>2494</v>
      </c>
      <c r="K371" t="s">
        <v>1163</v>
      </c>
      <c r="L371" t="s">
        <v>1013</v>
      </c>
      <c r="M371" t="str">
        <f t="shared" si="11"/>
        <v>projectCollections</v>
      </c>
      <c r="N371" t="s">
        <v>1007</v>
      </c>
      <c r="O371" t="s">
        <v>1014</v>
      </c>
    </row>
    <row r="372" spans="1:15" x14ac:dyDescent="0.25">
      <c r="A372" t="s">
        <v>1172</v>
      </c>
      <c r="B372" t="s">
        <v>1169</v>
      </c>
      <c r="C372" t="s">
        <v>1171</v>
      </c>
      <c r="D372" t="s">
        <v>43</v>
      </c>
      <c r="E372">
        <v>84523</v>
      </c>
      <c r="F372" t="s">
        <v>44</v>
      </c>
      <c r="G372" t="s">
        <v>1170</v>
      </c>
      <c r="H372" t="str">
        <f t="shared" si="10"/>
        <v>0926/2019</v>
      </c>
      <c r="I372" t="s">
        <v>2410</v>
      </c>
      <c r="L372" t="s">
        <v>1013</v>
      </c>
      <c r="M372" t="str">
        <f t="shared" si="11"/>
        <v>projectCollections</v>
      </c>
      <c r="N372" t="s">
        <v>1007</v>
      </c>
      <c r="O372" t="s">
        <v>1014</v>
      </c>
    </row>
    <row r="373" spans="1:15" x14ac:dyDescent="0.25">
      <c r="A373" t="s">
        <v>1029</v>
      </c>
      <c r="B373" t="s">
        <v>1026</v>
      </c>
      <c r="C373" t="s">
        <v>1028</v>
      </c>
      <c r="D373" t="s">
        <v>43</v>
      </c>
      <c r="E373">
        <v>84717</v>
      </c>
      <c r="F373" t="s">
        <v>44</v>
      </c>
      <c r="G373" t="s">
        <v>1027</v>
      </c>
      <c r="H373" t="str">
        <f t="shared" si="10"/>
        <v>0127/2020</v>
      </c>
      <c r="I373" t="s">
        <v>2493</v>
      </c>
      <c r="K373" t="s">
        <v>1173</v>
      </c>
      <c r="L373" t="s">
        <v>1013</v>
      </c>
      <c r="M373" t="str">
        <f t="shared" si="11"/>
        <v>projectCollections</v>
      </c>
      <c r="N373" t="s">
        <v>1007</v>
      </c>
      <c r="O373" t="s">
        <v>1014</v>
      </c>
    </row>
    <row r="374" spans="1:15" x14ac:dyDescent="0.25">
      <c r="A374" t="s">
        <v>1177</v>
      </c>
      <c r="B374" t="s">
        <v>1174</v>
      </c>
      <c r="C374" t="s">
        <v>1176</v>
      </c>
      <c r="D374" t="s">
        <v>43</v>
      </c>
      <c r="E374">
        <v>84524</v>
      </c>
      <c r="F374" t="s">
        <v>44</v>
      </c>
      <c r="G374" t="s">
        <v>1175</v>
      </c>
      <c r="H374" t="str">
        <f t="shared" si="10"/>
        <v>0926/2019</v>
      </c>
      <c r="I374" t="s">
        <v>2410</v>
      </c>
      <c r="L374" t="s">
        <v>1013</v>
      </c>
      <c r="M374" t="str">
        <f t="shared" si="11"/>
        <v>projectCollections</v>
      </c>
      <c r="N374" t="s">
        <v>1007</v>
      </c>
      <c r="O374" t="s">
        <v>1014</v>
      </c>
    </row>
    <row r="375" spans="1:15" x14ac:dyDescent="0.25">
      <c r="A375" t="s">
        <v>1034</v>
      </c>
      <c r="B375" t="s">
        <v>1030</v>
      </c>
      <c r="C375" t="s">
        <v>1033</v>
      </c>
      <c r="D375" t="s">
        <v>43</v>
      </c>
      <c r="E375">
        <v>84640</v>
      </c>
      <c r="F375" t="s">
        <v>44</v>
      </c>
      <c r="G375" t="s">
        <v>1032</v>
      </c>
      <c r="H375" t="str">
        <f t="shared" si="10"/>
        <v>0124/2020</v>
      </c>
      <c r="I375" t="s">
        <v>2495</v>
      </c>
      <c r="K375" t="s">
        <v>1178</v>
      </c>
      <c r="L375" t="s">
        <v>1013</v>
      </c>
      <c r="M375" t="str">
        <f t="shared" si="11"/>
        <v>projectCollections</v>
      </c>
      <c r="N375" t="s">
        <v>1007</v>
      </c>
      <c r="O375" t="s">
        <v>1014</v>
      </c>
    </row>
    <row r="376" spans="1:15" x14ac:dyDescent="0.25">
      <c r="A376" t="s">
        <v>1045</v>
      </c>
      <c r="B376" t="s">
        <v>1042</v>
      </c>
      <c r="C376" t="s">
        <v>1044</v>
      </c>
      <c r="D376" t="s">
        <v>43</v>
      </c>
      <c r="E376">
        <v>84652</v>
      </c>
      <c r="F376" t="s">
        <v>44</v>
      </c>
      <c r="G376" t="s">
        <v>1043</v>
      </c>
      <c r="H376" t="str">
        <f t="shared" si="10"/>
        <v>0124/2020</v>
      </c>
      <c r="I376" t="s">
        <v>2495</v>
      </c>
      <c r="K376" t="s">
        <v>1035</v>
      </c>
      <c r="L376" t="s">
        <v>1013</v>
      </c>
      <c r="M376" t="str">
        <f t="shared" si="11"/>
        <v>projectCollections</v>
      </c>
      <c r="N376" t="s">
        <v>1007</v>
      </c>
      <c r="O376" t="s">
        <v>1014</v>
      </c>
    </row>
    <row r="377" spans="1:15" x14ac:dyDescent="0.25">
      <c r="A377" t="s">
        <v>1182</v>
      </c>
      <c r="B377" t="s">
        <v>1179</v>
      </c>
      <c r="C377" t="s">
        <v>1181</v>
      </c>
      <c r="D377" t="s">
        <v>43</v>
      </c>
      <c r="E377">
        <v>84525</v>
      </c>
      <c r="F377" t="s">
        <v>44</v>
      </c>
      <c r="G377" t="s">
        <v>1180</v>
      </c>
      <c r="H377" t="str">
        <f t="shared" si="10"/>
        <v>0926/2019</v>
      </c>
      <c r="I377" t="s">
        <v>2410</v>
      </c>
      <c r="K377" t="s">
        <v>1046</v>
      </c>
      <c r="L377" t="s">
        <v>1013</v>
      </c>
      <c r="M377" t="str">
        <f t="shared" si="11"/>
        <v>projectCollections</v>
      </c>
      <c r="N377" t="s">
        <v>1007</v>
      </c>
      <c r="O377" t="s">
        <v>1014</v>
      </c>
    </row>
    <row r="378" spans="1:15" x14ac:dyDescent="0.25">
      <c r="A378" t="s">
        <v>1186</v>
      </c>
      <c r="B378" t="s">
        <v>1183</v>
      </c>
      <c r="C378" t="s">
        <v>1185</v>
      </c>
      <c r="D378" t="s">
        <v>43</v>
      </c>
      <c r="E378">
        <v>84526</v>
      </c>
      <c r="F378" t="s">
        <v>44</v>
      </c>
      <c r="G378" t="s">
        <v>1184</v>
      </c>
      <c r="H378" t="str">
        <f t="shared" si="10"/>
        <v>0926/2019</v>
      </c>
      <c r="I378" t="s">
        <v>2410</v>
      </c>
      <c r="L378" t="s">
        <v>1013</v>
      </c>
      <c r="M378" t="str">
        <f t="shared" si="11"/>
        <v>projectCollections</v>
      </c>
      <c r="N378" t="s">
        <v>1007</v>
      </c>
      <c r="O378" t="s">
        <v>1014</v>
      </c>
    </row>
    <row r="379" spans="1:15" x14ac:dyDescent="0.25">
      <c r="A379" t="s">
        <v>1190</v>
      </c>
      <c r="B379" t="s">
        <v>1187</v>
      </c>
      <c r="C379" t="s">
        <v>1189</v>
      </c>
      <c r="D379" t="s">
        <v>43</v>
      </c>
      <c r="E379">
        <v>84527</v>
      </c>
      <c r="F379" t="s">
        <v>44</v>
      </c>
      <c r="G379" t="s">
        <v>1188</v>
      </c>
      <c r="H379" t="str">
        <f t="shared" si="10"/>
        <v>0926/2019</v>
      </c>
      <c r="I379" t="s">
        <v>2410</v>
      </c>
      <c r="L379" t="s">
        <v>1013</v>
      </c>
      <c r="M379" t="str">
        <f t="shared" si="11"/>
        <v>projectCollections</v>
      </c>
      <c r="N379" t="s">
        <v>1007</v>
      </c>
      <c r="O379" t="s">
        <v>1014</v>
      </c>
    </row>
    <row r="380" spans="1:15" x14ac:dyDescent="0.25">
      <c r="A380" t="s">
        <v>1050</v>
      </c>
      <c r="B380" t="s">
        <v>1047</v>
      </c>
      <c r="C380" t="s">
        <v>1049</v>
      </c>
      <c r="D380" t="s">
        <v>43</v>
      </c>
      <c r="E380">
        <v>84735</v>
      </c>
      <c r="F380" t="s">
        <v>44</v>
      </c>
      <c r="G380" t="s">
        <v>1048</v>
      </c>
      <c r="H380" t="str">
        <f t="shared" si="10"/>
        <v>0127/2020</v>
      </c>
      <c r="I380" t="s">
        <v>2493</v>
      </c>
      <c r="K380" t="s">
        <v>1191</v>
      </c>
      <c r="L380" t="s">
        <v>1013</v>
      </c>
      <c r="M380" t="str">
        <f t="shared" si="11"/>
        <v>projectCollections</v>
      </c>
      <c r="N380" t="s">
        <v>1007</v>
      </c>
      <c r="O380" t="s">
        <v>1014</v>
      </c>
    </row>
    <row r="381" spans="1:15" x14ac:dyDescent="0.25">
      <c r="A381" t="s">
        <v>1055</v>
      </c>
      <c r="B381" t="s">
        <v>1052</v>
      </c>
      <c r="C381" t="s">
        <v>1054</v>
      </c>
      <c r="D381" t="s">
        <v>43</v>
      </c>
      <c r="E381">
        <v>84683</v>
      </c>
      <c r="F381" t="s">
        <v>44</v>
      </c>
      <c r="G381" t="s">
        <v>1053</v>
      </c>
      <c r="H381" t="str">
        <f t="shared" si="10"/>
        <v>0127/2020</v>
      </c>
      <c r="I381" t="s">
        <v>2493</v>
      </c>
      <c r="K381" t="s">
        <v>1051</v>
      </c>
      <c r="L381" t="s">
        <v>1013</v>
      </c>
      <c r="M381" t="str">
        <f t="shared" si="11"/>
        <v>projectCollections</v>
      </c>
      <c r="N381" t="s">
        <v>1007</v>
      </c>
      <c r="O381" t="s">
        <v>1014</v>
      </c>
    </row>
    <row r="382" spans="1:15" x14ac:dyDescent="0.25">
      <c r="A382" t="s">
        <v>1195</v>
      </c>
      <c r="B382" t="s">
        <v>1192</v>
      </c>
      <c r="C382" t="s">
        <v>1194</v>
      </c>
      <c r="D382" t="s">
        <v>43</v>
      </c>
      <c r="E382">
        <v>84528</v>
      </c>
      <c r="F382" t="s">
        <v>44</v>
      </c>
      <c r="G382" t="s">
        <v>1193</v>
      </c>
      <c r="H382" t="str">
        <f t="shared" si="10"/>
        <v>0926/2019</v>
      </c>
      <c r="I382" t="s">
        <v>2410</v>
      </c>
      <c r="K382" t="s">
        <v>1056</v>
      </c>
      <c r="L382" t="s">
        <v>1013</v>
      </c>
      <c r="M382" t="str">
        <f t="shared" si="11"/>
        <v>projectCollections</v>
      </c>
      <c r="N382" t="s">
        <v>1007</v>
      </c>
      <c r="O382" t="s">
        <v>1014</v>
      </c>
    </row>
    <row r="383" spans="1:15" x14ac:dyDescent="0.25">
      <c r="A383" t="s">
        <v>1199</v>
      </c>
      <c r="B383" t="s">
        <v>1196</v>
      </c>
      <c r="C383" t="s">
        <v>1198</v>
      </c>
      <c r="D383" t="s">
        <v>43</v>
      </c>
      <c r="E383">
        <v>84529</v>
      </c>
      <c r="F383" t="s">
        <v>44</v>
      </c>
      <c r="G383" t="s">
        <v>1197</v>
      </c>
      <c r="H383" t="str">
        <f t="shared" si="10"/>
        <v>0926/2019</v>
      </c>
      <c r="I383" t="s">
        <v>2410</v>
      </c>
      <c r="L383" t="s">
        <v>1013</v>
      </c>
      <c r="M383" t="str">
        <f t="shared" si="11"/>
        <v>projectCollections</v>
      </c>
      <c r="N383" t="s">
        <v>1007</v>
      </c>
      <c r="O383" t="s">
        <v>1014</v>
      </c>
    </row>
    <row r="384" spans="1:15" x14ac:dyDescent="0.25">
      <c r="A384" t="s">
        <v>1060</v>
      </c>
      <c r="B384" t="s">
        <v>1057</v>
      </c>
      <c r="C384" t="s">
        <v>1059</v>
      </c>
      <c r="D384" t="s">
        <v>43</v>
      </c>
      <c r="E384">
        <v>84622</v>
      </c>
      <c r="F384" t="s">
        <v>44</v>
      </c>
      <c r="G384" t="s">
        <v>1058</v>
      </c>
      <c r="H384" t="str">
        <f t="shared" si="10"/>
        <v>0122/2020</v>
      </c>
      <c r="I384" t="s">
        <v>2491</v>
      </c>
      <c r="K384" t="s">
        <v>1200</v>
      </c>
      <c r="L384" t="s">
        <v>1013</v>
      </c>
      <c r="M384" t="str">
        <f t="shared" si="11"/>
        <v>projectCollections</v>
      </c>
      <c r="N384" t="s">
        <v>1007</v>
      </c>
      <c r="O384" t="s">
        <v>1014</v>
      </c>
    </row>
    <row r="385" spans="1:15" x14ac:dyDescent="0.25">
      <c r="A385" t="s">
        <v>1065</v>
      </c>
      <c r="B385" t="s">
        <v>1062</v>
      </c>
      <c r="C385" t="s">
        <v>1064</v>
      </c>
      <c r="D385" t="s">
        <v>43</v>
      </c>
      <c r="E385">
        <v>84663</v>
      </c>
      <c r="F385" t="s">
        <v>44</v>
      </c>
      <c r="G385" t="s">
        <v>1063</v>
      </c>
      <c r="H385" t="str">
        <f t="shared" si="10"/>
        <v>0127/2020</v>
      </c>
      <c r="I385" t="s">
        <v>2493</v>
      </c>
      <c r="K385" t="s">
        <v>1061</v>
      </c>
      <c r="L385" t="s">
        <v>1013</v>
      </c>
      <c r="M385" t="str">
        <f t="shared" si="11"/>
        <v>projectCollections</v>
      </c>
      <c r="N385" t="s">
        <v>1007</v>
      </c>
      <c r="O385" t="s">
        <v>1014</v>
      </c>
    </row>
    <row r="386" spans="1:15" x14ac:dyDescent="0.25">
      <c r="A386" t="s">
        <v>1090</v>
      </c>
      <c r="B386" t="s">
        <v>1086</v>
      </c>
      <c r="C386" t="s">
        <v>1089</v>
      </c>
      <c r="D386" t="s">
        <v>43</v>
      </c>
      <c r="E386">
        <v>84772</v>
      </c>
      <c r="F386" t="s">
        <v>44</v>
      </c>
      <c r="G386" t="s">
        <v>1088</v>
      </c>
      <c r="H386" t="str">
        <f t="shared" ref="H386:H446" si="12">TEXT(DATEVALUE(LEFT(G386,10)),"MMDD/YYYY")</f>
        <v>0425/2020</v>
      </c>
      <c r="I386" t="s">
        <v>2496</v>
      </c>
      <c r="K386" t="s">
        <v>1066</v>
      </c>
      <c r="L386" t="s">
        <v>1013</v>
      </c>
      <c r="M386" t="str">
        <f t="shared" ref="M386:M446" si="13">MID(L386, 33, 18)</f>
        <v>projectCollections</v>
      </c>
      <c r="N386" t="s">
        <v>1007</v>
      </c>
      <c r="O386" t="s">
        <v>1014</v>
      </c>
    </row>
    <row r="387" spans="1:15" x14ac:dyDescent="0.25">
      <c r="A387" t="s">
        <v>1205</v>
      </c>
      <c r="B387" t="s">
        <v>1201</v>
      </c>
      <c r="C387" t="s">
        <v>1204</v>
      </c>
      <c r="D387" t="s">
        <v>43</v>
      </c>
      <c r="E387">
        <v>84576</v>
      </c>
      <c r="F387" t="s">
        <v>44</v>
      </c>
      <c r="G387" t="s">
        <v>1203</v>
      </c>
      <c r="H387" t="str">
        <f t="shared" si="12"/>
        <v>1015/2019</v>
      </c>
      <c r="I387" t="s">
        <v>2465</v>
      </c>
      <c r="L387" t="s">
        <v>1013</v>
      </c>
      <c r="M387" t="str">
        <f t="shared" si="13"/>
        <v>projectCollections</v>
      </c>
      <c r="N387" t="s">
        <v>1007</v>
      </c>
      <c r="O387" t="s">
        <v>1014</v>
      </c>
    </row>
    <row r="388" spans="1:15" x14ac:dyDescent="0.25">
      <c r="A388" t="s">
        <v>1095</v>
      </c>
      <c r="B388" t="s">
        <v>1091</v>
      </c>
      <c r="C388" t="s">
        <v>1094</v>
      </c>
      <c r="D388" t="s">
        <v>43</v>
      </c>
      <c r="E388">
        <v>84782</v>
      </c>
      <c r="F388" t="s">
        <v>44</v>
      </c>
      <c r="G388" t="s">
        <v>1093</v>
      </c>
      <c r="H388" t="str">
        <f t="shared" si="12"/>
        <v>0902/2020</v>
      </c>
      <c r="I388" t="s">
        <v>2497</v>
      </c>
      <c r="L388" t="s">
        <v>1013</v>
      </c>
      <c r="M388" t="str">
        <f t="shared" si="13"/>
        <v>projectCollections</v>
      </c>
      <c r="N388" t="s">
        <v>1007</v>
      </c>
      <c r="O388" t="s">
        <v>1014</v>
      </c>
    </row>
    <row r="389" spans="1:15" x14ac:dyDescent="0.25">
      <c r="A389" t="s">
        <v>1210</v>
      </c>
      <c r="B389" t="s">
        <v>1206</v>
      </c>
      <c r="C389" t="s">
        <v>1209</v>
      </c>
      <c r="D389" t="s">
        <v>43</v>
      </c>
      <c r="E389">
        <v>84550</v>
      </c>
      <c r="F389" t="s">
        <v>44</v>
      </c>
      <c r="G389" t="s">
        <v>1208</v>
      </c>
      <c r="H389" t="str">
        <f t="shared" si="12"/>
        <v>1004/2019</v>
      </c>
      <c r="I389" t="s">
        <v>2498</v>
      </c>
      <c r="K389" t="s">
        <v>1096</v>
      </c>
      <c r="L389" t="s">
        <v>1013</v>
      </c>
      <c r="M389" t="str">
        <f t="shared" si="13"/>
        <v>projectCollections</v>
      </c>
      <c r="N389" t="s">
        <v>1007</v>
      </c>
      <c r="O389" t="s">
        <v>1014</v>
      </c>
    </row>
    <row r="390" spans="1:15" x14ac:dyDescent="0.25">
      <c r="A390" t="s">
        <v>1215</v>
      </c>
      <c r="B390" t="s">
        <v>1212</v>
      </c>
      <c r="C390" t="s">
        <v>1214</v>
      </c>
      <c r="D390" t="s">
        <v>43</v>
      </c>
      <c r="E390">
        <v>84532</v>
      </c>
      <c r="F390" t="s">
        <v>44</v>
      </c>
      <c r="G390" t="s">
        <v>1213</v>
      </c>
      <c r="H390" t="str">
        <f t="shared" si="12"/>
        <v>0926/2019</v>
      </c>
      <c r="I390" t="s">
        <v>2410</v>
      </c>
      <c r="K390" t="s">
        <v>1211</v>
      </c>
      <c r="L390" t="s">
        <v>1013</v>
      </c>
      <c r="M390" t="str">
        <f t="shared" si="13"/>
        <v>projectCollections</v>
      </c>
      <c r="N390" t="s">
        <v>1007</v>
      </c>
      <c r="O390" t="s">
        <v>1014</v>
      </c>
    </row>
    <row r="391" spans="1:15" x14ac:dyDescent="0.25">
      <c r="A391" t="s">
        <v>1219</v>
      </c>
      <c r="B391" t="s">
        <v>1216</v>
      </c>
      <c r="C391" t="s">
        <v>1218</v>
      </c>
      <c r="D391" t="s">
        <v>43</v>
      </c>
      <c r="E391">
        <v>84533</v>
      </c>
      <c r="F391" t="s">
        <v>44</v>
      </c>
      <c r="G391" t="s">
        <v>1217</v>
      </c>
      <c r="H391" t="str">
        <f t="shared" si="12"/>
        <v>0926/2019</v>
      </c>
      <c r="I391" t="s">
        <v>2410</v>
      </c>
      <c r="L391" t="s">
        <v>1013</v>
      </c>
      <c r="M391" t="str">
        <f t="shared" si="13"/>
        <v>projectCollections</v>
      </c>
      <c r="N391" t="s">
        <v>1007</v>
      </c>
      <c r="O391" t="s">
        <v>1014</v>
      </c>
    </row>
    <row r="392" spans="1:15" x14ac:dyDescent="0.25">
      <c r="A392" t="s">
        <v>1100</v>
      </c>
      <c r="B392" t="s">
        <v>1097</v>
      </c>
      <c r="C392" t="s">
        <v>1099</v>
      </c>
      <c r="D392" t="s">
        <v>43</v>
      </c>
      <c r="E392">
        <v>84699</v>
      </c>
      <c r="F392" t="s">
        <v>44</v>
      </c>
      <c r="G392" t="s">
        <v>1098</v>
      </c>
      <c r="H392" t="str">
        <f t="shared" si="12"/>
        <v>0127/2020</v>
      </c>
      <c r="I392" t="s">
        <v>2493</v>
      </c>
      <c r="K392" t="s">
        <v>1220</v>
      </c>
      <c r="L392" t="s">
        <v>1013</v>
      </c>
      <c r="M392" t="str">
        <f t="shared" si="13"/>
        <v>projectCollections</v>
      </c>
      <c r="N392" t="s">
        <v>1007</v>
      </c>
      <c r="O392" t="s">
        <v>1014</v>
      </c>
    </row>
    <row r="393" spans="1:15" x14ac:dyDescent="0.25">
      <c r="A393" t="s">
        <v>1070</v>
      </c>
      <c r="B393" t="s">
        <v>1067</v>
      </c>
      <c r="C393" t="s">
        <v>1069</v>
      </c>
      <c r="D393" t="s">
        <v>43</v>
      </c>
      <c r="E393">
        <v>84708</v>
      </c>
      <c r="F393" t="s">
        <v>44</v>
      </c>
      <c r="G393" t="s">
        <v>1068</v>
      </c>
      <c r="H393" t="str">
        <f t="shared" si="12"/>
        <v>0127/2020</v>
      </c>
      <c r="I393" t="s">
        <v>2493</v>
      </c>
      <c r="K393" t="s">
        <v>1101</v>
      </c>
      <c r="L393" t="s">
        <v>1013</v>
      </c>
      <c r="M393" t="str">
        <f t="shared" si="13"/>
        <v>projectCollections</v>
      </c>
      <c r="N393" t="s">
        <v>1007</v>
      </c>
      <c r="O393" t="s">
        <v>1014</v>
      </c>
    </row>
    <row r="394" spans="1:15" x14ac:dyDescent="0.25">
      <c r="A394" t="s">
        <v>1225</v>
      </c>
      <c r="B394" t="s">
        <v>1221</v>
      </c>
      <c r="C394" t="s">
        <v>1224</v>
      </c>
      <c r="D394" t="s">
        <v>43</v>
      </c>
      <c r="E394">
        <v>84608</v>
      </c>
      <c r="F394" t="s">
        <v>44</v>
      </c>
      <c r="G394" t="s">
        <v>1223</v>
      </c>
      <c r="H394" t="str">
        <f t="shared" si="12"/>
        <v>1104/2019</v>
      </c>
      <c r="I394" t="s">
        <v>2499</v>
      </c>
      <c r="L394" t="s">
        <v>1013</v>
      </c>
      <c r="M394" t="str">
        <f t="shared" si="13"/>
        <v>projectCollections</v>
      </c>
      <c r="N394" t="s">
        <v>1007</v>
      </c>
      <c r="O394" t="s">
        <v>1014</v>
      </c>
    </row>
    <row r="395" spans="1:15" x14ac:dyDescent="0.25">
      <c r="A395" t="s">
        <v>1074</v>
      </c>
      <c r="B395" t="s">
        <v>1071</v>
      </c>
      <c r="C395" t="s">
        <v>1073</v>
      </c>
      <c r="D395" t="s">
        <v>43</v>
      </c>
      <c r="E395">
        <v>84726</v>
      </c>
      <c r="F395" t="s">
        <v>44</v>
      </c>
      <c r="G395" t="s">
        <v>1072</v>
      </c>
      <c r="H395" t="str">
        <f t="shared" si="12"/>
        <v>0127/2020</v>
      </c>
      <c r="I395" t="s">
        <v>2493</v>
      </c>
      <c r="K395" t="s">
        <v>1226</v>
      </c>
      <c r="L395" t="s">
        <v>1013</v>
      </c>
      <c r="M395" t="str">
        <f t="shared" si="13"/>
        <v>projectCollections</v>
      </c>
      <c r="N395" t="s">
        <v>1007</v>
      </c>
      <c r="O395" t="s">
        <v>1014</v>
      </c>
    </row>
    <row r="396" spans="1:15" x14ac:dyDescent="0.25">
      <c r="A396" t="s">
        <v>1079</v>
      </c>
      <c r="B396" t="s">
        <v>1076</v>
      </c>
      <c r="C396" t="s">
        <v>1078</v>
      </c>
      <c r="D396" t="s">
        <v>43</v>
      </c>
      <c r="E396">
        <v>84745</v>
      </c>
      <c r="F396" t="s">
        <v>44</v>
      </c>
      <c r="G396" t="s">
        <v>1077</v>
      </c>
      <c r="H396" t="str">
        <f t="shared" si="12"/>
        <v>0129/2020</v>
      </c>
      <c r="I396" t="s">
        <v>2492</v>
      </c>
      <c r="K396" t="s">
        <v>1075</v>
      </c>
      <c r="L396" t="s">
        <v>1013</v>
      </c>
      <c r="M396" t="str">
        <f t="shared" si="13"/>
        <v>projectCollections</v>
      </c>
      <c r="N396" t="s">
        <v>1007</v>
      </c>
      <c r="O396" t="s">
        <v>1014</v>
      </c>
    </row>
    <row r="397" spans="1:15" x14ac:dyDescent="0.25">
      <c r="A397" t="s">
        <v>2313</v>
      </c>
      <c r="B397" t="s">
        <v>2310</v>
      </c>
      <c r="C397" t="s">
        <v>2312</v>
      </c>
      <c r="D397" t="s">
        <v>43</v>
      </c>
      <c r="E397">
        <v>84536</v>
      </c>
      <c r="F397" t="s">
        <v>44</v>
      </c>
      <c r="G397" t="s">
        <v>2311</v>
      </c>
      <c r="H397" t="str">
        <f t="shared" si="12"/>
        <v>0926/2019</v>
      </c>
      <c r="I397" t="s">
        <v>2410</v>
      </c>
      <c r="K397" t="s">
        <v>1080</v>
      </c>
      <c r="L397" t="s">
        <v>1013</v>
      </c>
      <c r="M397" t="str">
        <f t="shared" si="13"/>
        <v>projectCollections</v>
      </c>
      <c r="N397" t="s">
        <v>1007</v>
      </c>
      <c r="O397" t="s">
        <v>1014</v>
      </c>
    </row>
    <row r="398" spans="1:15" x14ac:dyDescent="0.25">
      <c r="A398" t="s">
        <v>1235</v>
      </c>
      <c r="B398" t="s">
        <v>1232</v>
      </c>
      <c r="C398" t="s">
        <v>1234</v>
      </c>
      <c r="D398" t="s">
        <v>43</v>
      </c>
      <c r="E398">
        <v>84537</v>
      </c>
      <c r="F398" t="s">
        <v>44</v>
      </c>
      <c r="G398" t="s">
        <v>1233</v>
      </c>
      <c r="H398" t="str">
        <f t="shared" si="12"/>
        <v>0926/2019</v>
      </c>
      <c r="I398" t="s">
        <v>2410</v>
      </c>
      <c r="L398" t="s">
        <v>1013</v>
      </c>
      <c r="M398" t="str">
        <f t="shared" si="13"/>
        <v>projectCollections</v>
      </c>
      <c r="N398" t="s">
        <v>1007</v>
      </c>
      <c r="O398" t="s">
        <v>1014</v>
      </c>
    </row>
    <row r="399" spans="1:15" x14ac:dyDescent="0.25">
      <c r="A399" t="s">
        <v>1239</v>
      </c>
      <c r="B399" t="s">
        <v>1236</v>
      </c>
      <c r="C399" t="s">
        <v>1238</v>
      </c>
      <c r="D399" t="s">
        <v>43</v>
      </c>
      <c r="E399">
        <v>84538</v>
      </c>
      <c r="F399" t="s">
        <v>44</v>
      </c>
      <c r="G399" t="s">
        <v>1237</v>
      </c>
      <c r="H399" t="str">
        <f t="shared" si="12"/>
        <v>0926/2019</v>
      </c>
      <c r="I399" t="s">
        <v>2410</v>
      </c>
      <c r="L399" t="s">
        <v>1013</v>
      </c>
      <c r="M399" t="str">
        <f t="shared" si="13"/>
        <v>projectCollections</v>
      </c>
      <c r="N399" t="s">
        <v>1007</v>
      </c>
      <c r="O399" t="s">
        <v>1014</v>
      </c>
    </row>
    <row r="400" spans="1:15" x14ac:dyDescent="0.25">
      <c r="A400" t="s">
        <v>1243</v>
      </c>
      <c r="B400" t="s">
        <v>1240</v>
      </c>
      <c r="C400" t="s">
        <v>1242</v>
      </c>
      <c r="D400" t="s">
        <v>43</v>
      </c>
      <c r="E400">
        <v>84539</v>
      </c>
      <c r="F400" t="s">
        <v>44</v>
      </c>
      <c r="G400" t="s">
        <v>1241</v>
      </c>
      <c r="H400" t="str">
        <f t="shared" si="12"/>
        <v>0926/2019</v>
      </c>
      <c r="I400" t="s">
        <v>2410</v>
      </c>
      <c r="L400" t="s">
        <v>1013</v>
      </c>
      <c r="M400" t="str">
        <f t="shared" si="13"/>
        <v>projectCollections</v>
      </c>
      <c r="N400" t="s">
        <v>1007</v>
      </c>
      <c r="O400" t="s">
        <v>1014</v>
      </c>
    </row>
    <row r="401" spans="1:15" x14ac:dyDescent="0.25">
      <c r="A401" t="s">
        <v>1084</v>
      </c>
      <c r="B401" t="s">
        <v>1081</v>
      </c>
      <c r="C401" t="s">
        <v>1083</v>
      </c>
      <c r="D401" t="s">
        <v>43</v>
      </c>
      <c r="E401">
        <v>84662</v>
      </c>
      <c r="F401" t="s">
        <v>44</v>
      </c>
      <c r="G401" t="s">
        <v>1082</v>
      </c>
      <c r="H401" t="str">
        <f t="shared" si="12"/>
        <v>0127/2020</v>
      </c>
      <c r="I401" t="s">
        <v>2493</v>
      </c>
      <c r="K401" t="s">
        <v>1244</v>
      </c>
      <c r="L401" t="s">
        <v>1013</v>
      </c>
      <c r="M401" t="str">
        <f t="shared" si="13"/>
        <v>projectCollections</v>
      </c>
      <c r="N401" t="s">
        <v>1007</v>
      </c>
      <c r="O401" t="s">
        <v>1014</v>
      </c>
    </row>
    <row r="402" spans="1:15" x14ac:dyDescent="0.25">
      <c r="A402" t="s">
        <v>1248</v>
      </c>
      <c r="B402" t="s">
        <v>1245</v>
      </c>
      <c r="C402" t="s">
        <v>1247</v>
      </c>
      <c r="D402" t="s">
        <v>43</v>
      </c>
      <c r="E402">
        <v>84540</v>
      </c>
      <c r="F402" t="s">
        <v>44</v>
      </c>
      <c r="G402" t="s">
        <v>1246</v>
      </c>
      <c r="H402" t="str">
        <f t="shared" si="12"/>
        <v>0926/2019</v>
      </c>
      <c r="I402" t="s">
        <v>2410</v>
      </c>
      <c r="K402" t="s">
        <v>1085</v>
      </c>
      <c r="L402" t="s">
        <v>1013</v>
      </c>
      <c r="M402" t="str">
        <f t="shared" si="13"/>
        <v>projectCollections</v>
      </c>
      <c r="N402" t="s">
        <v>1007</v>
      </c>
      <c r="O402" t="s">
        <v>1014</v>
      </c>
    </row>
    <row r="403" spans="1:15" x14ac:dyDescent="0.25">
      <c r="A403" t="s">
        <v>1105</v>
      </c>
      <c r="B403" t="s">
        <v>1102</v>
      </c>
      <c r="C403" t="s">
        <v>1104</v>
      </c>
      <c r="D403" t="s">
        <v>43</v>
      </c>
      <c r="E403">
        <v>84672</v>
      </c>
      <c r="F403" t="s">
        <v>44</v>
      </c>
      <c r="G403" t="s">
        <v>1103</v>
      </c>
      <c r="H403" t="str">
        <f t="shared" si="12"/>
        <v>0127/2020</v>
      </c>
      <c r="I403" t="s">
        <v>2493</v>
      </c>
      <c r="K403" t="s">
        <v>1249</v>
      </c>
      <c r="L403" t="s">
        <v>1013</v>
      </c>
      <c r="M403" t="str">
        <f t="shared" si="13"/>
        <v>projectCollections</v>
      </c>
      <c r="N403" t="s">
        <v>1007</v>
      </c>
      <c r="O403" t="s">
        <v>1014</v>
      </c>
    </row>
    <row r="404" spans="1:15" x14ac:dyDescent="0.25">
      <c r="A404" t="s">
        <v>1253</v>
      </c>
      <c r="B404" t="s">
        <v>1250</v>
      </c>
      <c r="C404" t="s">
        <v>1252</v>
      </c>
      <c r="D404" t="s">
        <v>43</v>
      </c>
      <c r="E404">
        <v>84541</v>
      </c>
      <c r="F404" t="s">
        <v>44</v>
      </c>
      <c r="G404" t="s">
        <v>1251</v>
      </c>
      <c r="H404" t="str">
        <f t="shared" si="12"/>
        <v>0926/2019</v>
      </c>
      <c r="I404" t="s">
        <v>2410</v>
      </c>
      <c r="L404" t="s">
        <v>1013</v>
      </c>
      <c r="M404" t="str">
        <f t="shared" si="13"/>
        <v>projectCollections</v>
      </c>
      <c r="N404" t="s">
        <v>1007</v>
      </c>
      <c r="O404" t="s">
        <v>1014</v>
      </c>
    </row>
    <row r="405" spans="1:15" x14ac:dyDescent="0.25">
      <c r="A405" t="s">
        <v>2317</v>
      </c>
      <c r="B405" t="s">
        <v>2314</v>
      </c>
      <c r="C405" t="s">
        <v>2316</v>
      </c>
      <c r="D405" t="s">
        <v>43</v>
      </c>
      <c r="E405">
        <v>84599</v>
      </c>
      <c r="F405" t="s">
        <v>44</v>
      </c>
      <c r="G405" t="s">
        <v>2315</v>
      </c>
      <c r="H405" t="str">
        <f t="shared" si="12"/>
        <v>1104/2019</v>
      </c>
      <c r="I405" t="s">
        <v>2499</v>
      </c>
      <c r="K405" t="s">
        <v>1254</v>
      </c>
      <c r="L405" t="s">
        <v>1013</v>
      </c>
      <c r="M405" t="str">
        <f t="shared" si="13"/>
        <v>projectCollections</v>
      </c>
      <c r="N405" t="s">
        <v>1007</v>
      </c>
      <c r="O405" t="s">
        <v>1014</v>
      </c>
    </row>
    <row r="406" spans="1:15" x14ac:dyDescent="0.25">
      <c r="A406" t="s">
        <v>1264</v>
      </c>
      <c r="B406" t="s">
        <v>1261</v>
      </c>
      <c r="C406" t="s">
        <v>1263</v>
      </c>
      <c r="D406" t="s">
        <v>43</v>
      </c>
      <c r="E406">
        <v>84542</v>
      </c>
      <c r="F406" t="s">
        <v>44</v>
      </c>
      <c r="G406" t="s">
        <v>1262</v>
      </c>
      <c r="H406" t="str">
        <f t="shared" si="12"/>
        <v>0926/2019</v>
      </c>
      <c r="I406" t="s">
        <v>2410</v>
      </c>
      <c r="L406" t="s">
        <v>1013</v>
      </c>
      <c r="M406" t="str">
        <f t="shared" si="13"/>
        <v>projectCollections</v>
      </c>
      <c r="N406" t="s">
        <v>1007</v>
      </c>
      <c r="O406" t="s">
        <v>1014</v>
      </c>
    </row>
    <row r="407" spans="1:15" x14ac:dyDescent="0.25">
      <c r="A407" t="s">
        <v>1110</v>
      </c>
      <c r="B407" t="s">
        <v>1106</v>
      </c>
      <c r="C407" t="s">
        <v>1109</v>
      </c>
      <c r="D407" t="s">
        <v>43</v>
      </c>
      <c r="E407">
        <v>84781</v>
      </c>
      <c r="F407" t="s">
        <v>44</v>
      </c>
      <c r="G407" t="s">
        <v>1108</v>
      </c>
      <c r="H407" t="str">
        <f t="shared" si="12"/>
        <v>0518/2020</v>
      </c>
      <c r="I407" t="s">
        <v>2500</v>
      </c>
      <c r="K407" t="s">
        <v>1265</v>
      </c>
      <c r="L407" t="s">
        <v>1013</v>
      </c>
      <c r="M407" t="str">
        <f t="shared" si="13"/>
        <v>projectCollections</v>
      </c>
      <c r="N407" t="s">
        <v>1007</v>
      </c>
      <c r="O407" t="s">
        <v>1014</v>
      </c>
    </row>
    <row r="408" spans="1:15" x14ac:dyDescent="0.25">
      <c r="A408" t="s">
        <v>1116</v>
      </c>
      <c r="B408" t="s">
        <v>1112</v>
      </c>
      <c r="C408" t="s">
        <v>1115</v>
      </c>
      <c r="D408" t="s">
        <v>43</v>
      </c>
      <c r="E408">
        <v>84763</v>
      </c>
      <c r="F408" t="s">
        <v>44</v>
      </c>
      <c r="G408" t="s">
        <v>1114</v>
      </c>
      <c r="H408" t="str">
        <f t="shared" si="12"/>
        <v>0211/2020</v>
      </c>
      <c r="I408" t="s">
        <v>2501</v>
      </c>
      <c r="K408" t="s">
        <v>1111</v>
      </c>
      <c r="L408" t="s">
        <v>1013</v>
      </c>
      <c r="M408" t="str">
        <f t="shared" si="13"/>
        <v>projectCollections</v>
      </c>
      <c r="N408" t="s">
        <v>1007</v>
      </c>
      <c r="O408" t="s">
        <v>1014</v>
      </c>
    </row>
    <row r="409" spans="1:15" x14ac:dyDescent="0.25">
      <c r="A409" t="s">
        <v>1270</v>
      </c>
      <c r="B409" t="s">
        <v>1266</v>
      </c>
      <c r="C409" t="s">
        <v>1269</v>
      </c>
      <c r="D409" t="s">
        <v>43</v>
      </c>
      <c r="E409">
        <v>84558</v>
      </c>
      <c r="F409" t="s">
        <v>44</v>
      </c>
      <c r="G409" t="s">
        <v>1268</v>
      </c>
      <c r="H409" t="str">
        <f t="shared" si="12"/>
        <v>1010/2019</v>
      </c>
      <c r="I409" t="s">
        <v>2502</v>
      </c>
      <c r="K409" t="s">
        <v>1117</v>
      </c>
      <c r="L409" t="s">
        <v>1013</v>
      </c>
      <c r="M409" t="str">
        <f t="shared" si="13"/>
        <v>projectCollections</v>
      </c>
      <c r="N409" t="s">
        <v>1007</v>
      </c>
      <c r="O409" t="s">
        <v>1014</v>
      </c>
    </row>
    <row r="410" spans="1:15" x14ac:dyDescent="0.25">
      <c r="A410" t="s">
        <v>1121</v>
      </c>
      <c r="B410" t="s">
        <v>1118</v>
      </c>
      <c r="C410" t="s">
        <v>1120</v>
      </c>
      <c r="D410" t="s">
        <v>43</v>
      </c>
      <c r="E410">
        <v>84631</v>
      </c>
      <c r="F410" t="s">
        <v>44</v>
      </c>
      <c r="G410" t="s">
        <v>1119</v>
      </c>
      <c r="H410" t="str">
        <f t="shared" si="12"/>
        <v>0124/2020</v>
      </c>
      <c r="I410" t="s">
        <v>2495</v>
      </c>
      <c r="L410" t="s">
        <v>1013</v>
      </c>
      <c r="M410" t="str">
        <f t="shared" si="13"/>
        <v>projectCollections</v>
      </c>
      <c r="N410" t="s">
        <v>1007</v>
      </c>
      <c r="O410" t="s">
        <v>1014</v>
      </c>
    </row>
    <row r="411" spans="1:15" x14ac:dyDescent="0.25">
      <c r="A411" t="s">
        <v>116</v>
      </c>
      <c r="B411" t="s">
        <v>113</v>
      </c>
      <c r="C411" t="s">
        <v>115</v>
      </c>
      <c r="D411" t="s">
        <v>43</v>
      </c>
      <c r="E411">
        <v>1239124</v>
      </c>
      <c r="F411" t="s">
        <v>44</v>
      </c>
      <c r="G411" t="s">
        <v>114</v>
      </c>
      <c r="H411" t="str">
        <f t="shared" si="12"/>
        <v>1025/2019</v>
      </c>
      <c r="I411" t="s">
        <v>2400</v>
      </c>
      <c r="K411" t="s">
        <v>1122</v>
      </c>
      <c r="L411" t="s">
        <v>102</v>
      </c>
      <c r="M411" t="str">
        <f t="shared" si="13"/>
        <v>projectCollections</v>
      </c>
      <c r="N411" t="s">
        <v>97</v>
      </c>
      <c r="O411" t="s">
        <v>103</v>
      </c>
    </row>
    <row r="412" spans="1:15" x14ac:dyDescent="0.25">
      <c r="A412" t="s">
        <v>104</v>
      </c>
      <c r="B412" t="s">
        <v>98</v>
      </c>
      <c r="C412" t="s">
        <v>101</v>
      </c>
      <c r="D412" t="s">
        <v>43</v>
      </c>
      <c r="E412">
        <v>1239193</v>
      </c>
      <c r="F412" t="s">
        <v>44</v>
      </c>
      <c r="G412" t="s">
        <v>100</v>
      </c>
      <c r="H412" t="str">
        <f t="shared" si="12"/>
        <v>0830/2023</v>
      </c>
      <c r="I412" t="s">
        <v>2503</v>
      </c>
      <c r="K412" t="s">
        <v>98</v>
      </c>
      <c r="L412" t="s">
        <v>102</v>
      </c>
      <c r="M412" t="str">
        <f t="shared" si="13"/>
        <v>projectCollections</v>
      </c>
      <c r="N412" t="s">
        <v>97</v>
      </c>
      <c r="O412" t="s">
        <v>103</v>
      </c>
    </row>
    <row r="413" spans="1:15" x14ac:dyDescent="0.25">
      <c r="A413" t="s">
        <v>120</v>
      </c>
      <c r="B413" t="s">
        <v>69</v>
      </c>
      <c r="C413" t="s">
        <v>119</v>
      </c>
      <c r="D413" t="s">
        <v>43</v>
      </c>
      <c r="E413">
        <v>1239125</v>
      </c>
      <c r="F413" t="s">
        <v>44</v>
      </c>
      <c r="G413" t="s">
        <v>118</v>
      </c>
      <c r="H413" t="str">
        <f t="shared" si="12"/>
        <v>1025/2019</v>
      </c>
      <c r="I413" t="s">
        <v>2400</v>
      </c>
      <c r="K413" t="s">
        <v>105</v>
      </c>
      <c r="L413" t="s">
        <v>102</v>
      </c>
      <c r="M413" t="str">
        <f t="shared" si="13"/>
        <v>projectCollections</v>
      </c>
      <c r="N413" t="s">
        <v>97</v>
      </c>
      <c r="O413" t="s">
        <v>103</v>
      </c>
    </row>
    <row r="414" spans="1:15" x14ac:dyDescent="0.25">
      <c r="A414" t="s">
        <v>125</v>
      </c>
      <c r="B414" t="s">
        <v>122</v>
      </c>
      <c r="C414" t="s">
        <v>124</v>
      </c>
      <c r="D414" t="s">
        <v>43</v>
      </c>
      <c r="E414">
        <v>1239126</v>
      </c>
      <c r="F414" t="s">
        <v>44</v>
      </c>
      <c r="G414" t="s">
        <v>123</v>
      </c>
      <c r="H414" t="str">
        <f t="shared" si="12"/>
        <v>1025/2019</v>
      </c>
      <c r="I414" t="s">
        <v>2400</v>
      </c>
      <c r="K414" t="s">
        <v>121</v>
      </c>
      <c r="L414" t="s">
        <v>102</v>
      </c>
      <c r="M414" t="str">
        <f t="shared" si="13"/>
        <v>projectCollections</v>
      </c>
      <c r="N414" t="s">
        <v>97</v>
      </c>
      <c r="O414" t="s">
        <v>103</v>
      </c>
    </row>
    <row r="415" spans="1:15" x14ac:dyDescent="0.25">
      <c r="A415" t="s">
        <v>131</v>
      </c>
      <c r="B415" t="s">
        <v>127</v>
      </c>
      <c r="C415" t="s">
        <v>130</v>
      </c>
      <c r="D415" t="s">
        <v>43</v>
      </c>
      <c r="E415">
        <v>1239127</v>
      </c>
      <c r="F415" t="s">
        <v>44</v>
      </c>
      <c r="G415" t="s">
        <v>129</v>
      </c>
      <c r="H415" t="str">
        <f t="shared" si="12"/>
        <v>1025/2019</v>
      </c>
      <c r="I415" t="s">
        <v>2400</v>
      </c>
      <c r="K415" t="s">
        <v>126</v>
      </c>
      <c r="L415" t="s">
        <v>102</v>
      </c>
      <c r="M415" t="str">
        <f t="shared" si="13"/>
        <v>projectCollections</v>
      </c>
      <c r="N415" t="s">
        <v>97</v>
      </c>
      <c r="O415" t="s">
        <v>103</v>
      </c>
    </row>
    <row r="416" spans="1:15" x14ac:dyDescent="0.25">
      <c r="A416" t="s">
        <v>243</v>
      </c>
      <c r="B416" t="s">
        <v>235</v>
      </c>
      <c r="C416" t="s">
        <v>242</v>
      </c>
      <c r="D416" t="s">
        <v>43</v>
      </c>
      <c r="E416">
        <v>1239155</v>
      </c>
      <c r="F416" t="s">
        <v>44</v>
      </c>
      <c r="G416" t="s">
        <v>241</v>
      </c>
      <c r="H416" t="str">
        <f t="shared" si="12"/>
        <v>1108/2021</v>
      </c>
      <c r="I416" t="s">
        <v>2490</v>
      </c>
      <c r="K416" t="s">
        <v>132</v>
      </c>
      <c r="L416" t="s">
        <v>102</v>
      </c>
      <c r="M416" t="str">
        <f t="shared" si="13"/>
        <v>projectCollections</v>
      </c>
      <c r="N416" t="s">
        <v>97</v>
      </c>
      <c r="O416" t="s">
        <v>103</v>
      </c>
    </row>
    <row r="417" spans="1:15" x14ac:dyDescent="0.25">
      <c r="A417" t="s">
        <v>256</v>
      </c>
      <c r="B417" t="s">
        <v>253</v>
      </c>
      <c r="C417" t="s">
        <v>255</v>
      </c>
      <c r="D417" t="s">
        <v>43</v>
      </c>
      <c r="E417">
        <v>1239129</v>
      </c>
      <c r="F417" t="s">
        <v>44</v>
      </c>
      <c r="G417" t="s">
        <v>254</v>
      </c>
      <c r="H417" t="str">
        <f t="shared" si="12"/>
        <v>1025/2019</v>
      </c>
      <c r="I417" t="s">
        <v>2400</v>
      </c>
      <c r="K417" t="s">
        <v>244</v>
      </c>
      <c r="L417" t="s">
        <v>102</v>
      </c>
      <c r="M417" t="str">
        <f t="shared" si="13"/>
        <v>projectCollections</v>
      </c>
      <c r="N417" t="s">
        <v>97</v>
      </c>
      <c r="O417" t="s">
        <v>103</v>
      </c>
    </row>
    <row r="418" spans="1:15" x14ac:dyDescent="0.25">
      <c r="A418" t="s">
        <v>215</v>
      </c>
      <c r="B418" t="s">
        <v>62</v>
      </c>
      <c r="C418" t="s">
        <v>214</v>
      </c>
      <c r="D418" t="s">
        <v>43</v>
      </c>
      <c r="E418">
        <v>1239152</v>
      </c>
      <c r="F418" t="s">
        <v>44</v>
      </c>
      <c r="G418" t="s">
        <v>213</v>
      </c>
      <c r="H418" t="str">
        <f t="shared" si="12"/>
        <v>0427/2020</v>
      </c>
      <c r="I418" t="s">
        <v>2504</v>
      </c>
      <c r="K418" t="s">
        <v>257</v>
      </c>
      <c r="L418" t="s">
        <v>102</v>
      </c>
      <c r="M418" t="str">
        <f t="shared" si="13"/>
        <v>projectCollections</v>
      </c>
      <c r="N418" t="s">
        <v>97</v>
      </c>
      <c r="O418" t="s">
        <v>103</v>
      </c>
    </row>
    <row r="419" spans="1:15" x14ac:dyDescent="0.25">
      <c r="A419" t="s">
        <v>137</v>
      </c>
      <c r="B419" t="s">
        <v>133</v>
      </c>
      <c r="C419" t="s">
        <v>136</v>
      </c>
      <c r="D419" t="s">
        <v>43</v>
      </c>
      <c r="E419">
        <v>1239131</v>
      </c>
      <c r="F419" t="s">
        <v>44</v>
      </c>
      <c r="G419" t="s">
        <v>135</v>
      </c>
      <c r="H419" t="str">
        <f t="shared" si="12"/>
        <v>1025/2019</v>
      </c>
      <c r="I419" t="s">
        <v>2400</v>
      </c>
      <c r="K419" t="s">
        <v>216</v>
      </c>
      <c r="L419" t="s">
        <v>102</v>
      </c>
      <c r="M419" t="str">
        <f t="shared" si="13"/>
        <v>projectCollections</v>
      </c>
      <c r="N419" t="s">
        <v>97</v>
      </c>
      <c r="O419" t="s">
        <v>103</v>
      </c>
    </row>
    <row r="420" spans="1:15" x14ac:dyDescent="0.25">
      <c r="A420" t="s">
        <v>142</v>
      </c>
      <c r="B420" t="s">
        <v>139</v>
      </c>
      <c r="C420" t="s">
        <v>141</v>
      </c>
      <c r="D420" t="s">
        <v>43</v>
      </c>
      <c r="E420">
        <v>1239132</v>
      </c>
      <c r="F420" t="s">
        <v>44</v>
      </c>
      <c r="G420" t="s">
        <v>140</v>
      </c>
      <c r="H420" t="str">
        <f t="shared" si="12"/>
        <v>1025/2019</v>
      </c>
      <c r="I420" t="s">
        <v>2400</v>
      </c>
      <c r="K420" t="s">
        <v>138</v>
      </c>
      <c r="L420" t="s">
        <v>102</v>
      </c>
      <c r="M420" t="str">
        <f t="shared" si="13"/>
        <v>projectCollections</v>
      </c>
      <c r="N420" t="s">
        <v>97</v>
      </c>
      <c r="O420" t="s">
        <v>103</v>
      </c>
    </row>
    <row r="421" spans="1:15" x14ac:dyDescent="0.25">
      <c r="A421" t="s">
        <v>147</v>
      </c>
      <c r="B421" t="s">
        <v>144</v>
      </c>
      <c r="C421" t="s">
        <v>146</v>
      </c>
      <c r="D421" t="s">
        <v>43</v>
      </c>
      <c r="E421">
        <v>1239133</v>
      </c>
      <c r="F421" t="s">
        <v>44</v>
      </c>
      <c r="G421" t="s">
        <v>145</v>
      </c>
      <c r="H421" t="str">
        <f t="shared" si="12"/>
        <v>1025/2019</v>
      </c>
      <c r="I421" t="s">
        <v>2400</v>
      </c>
      <c r="K421" t="s">
        <v>143</v>
      </c>
      <c r="L421" t="s">
        <v>102</v>
      </c>
      <c r="M421" t="str">
        <f t="shared" si="13"/>
        <v>projectCollections</v>
      </c>
      <c r="N421" t="s">
        <v>97</v>
      </c>
      <c r="O421" t="s">
        <v>103</v>
      </c>
    </row>
    <row r="422" spans="1:15" x14ac:dyDescent="0.25">
      <c r="A422" t="s">
        <v>155</v>
      </c>
      <c r="B422" t="s">
        <v>85</v>
      </c>
      <c r="C422" t="s">
        <v>154</v>
      </c>
      <c r="D422" t="s">
        <v>43</v>
      </c>
      <c r="E422">
        <v>1239151</v>
      </c>
      <c r="F422" t="s">
        <v>44</v>
      </c>
      <c r="G422" t="s">
        <v>153</v>
      </c>
      <c r="H422" t="str">
        <f t="shared" si="12"/>
        <v>1107/2019</v>
      </c>
      <c r="I422" t="s">
        <v>2505</v>
      </c>
      <c r="K422" t="s">
        <v>148</v>
      </c>
      <c r="L422" t="s">
        <v>102</v>
      </c>
      <c r="M422" t="str">
        <f t="shared" si="13"/>
        <v>projectCollections</v>
      </c>
      <c r="N422" t="s">
        <v>97</v>
      </c>
      <c r="O422" t="s">
        <v>103</v>
      </c>
    </row>
    <row r="423" spans="1:15" x14ac:dyDescent="0.25">
      <c r="A423" t="s">
        <v>160</v>
      </c>
      <c r="B423" t="s">
        <v>157</v>
      </c>
      <c r="C423" t="s">
        <v>159</v>
      </c>
      <c r="D423" t="s">
        <v>43</v>
      </c>
      <c r="E423">
        <v>1239135</v>
      </c>
      <c r="F423" t="s">
        <v>44</v>
      </c>
      <c r="G423" t="s">
        <v>158</v>
      </c>
      <c r="H423" t="str">
        <f t="shared" si="12"/>
        <v>1025/2019</v>
      </c>
      <c r="I423" t="s">
        <v>2400</v>
      </c>
      <c r="K423" t="s">
        <v>156</v>
      </c>
      <c r="L423" t="s">
        <v>102</v>
      </c>
      <c r="M423" t="str">
        <f t="shared" si="13"/>
        <v>projectCollections</v>
      </c>
      <c r="N423" t="s">
        <v>97</v>
      </c>
      <c r="O423" t="s">
        <v>103</v>
      </c>
    </row>
    <row r="424" spans="1:15" x14ac:dyDescent="0.25">
      <c r="A424" t="s">
        <v>261</v>
      </c>
      <c r="B424" t="s">
        <v>258</v>
      </c>
      <c r="C424" t="s">
        <v>260</v>
      </c>
      <c r="D424" t="s">
        <v>43</v>
      </c>
      <c r="E424">
        <v>1239136</v>
      </c>
      <c r="F424" t="s">
        <v>44</v>
      </c>
      <c r="G424" t="s">
        <v>259</v>
      </c>
      <c r="H424" t="str">
        <f t="shared" si="12"/>
        <v>1025/2019</v>
      </c>
      <c r="I424" t="s">
        <v>2400</v>
      </c>
      <c r="K424" t="s">
        <v>161</v>
      </c>
      <c r="L424" t="s">
        <v>102</v>
      </c>
      <c r="M424" t="str">
        <f t="shared" si="13"/>
        <v>projectCollections</v>
      </c>
      <c r="N424" t="s">
        <v>97</v>
      </c>
      <c r="O424" t="s">
        <v>103</v>
      </c>
    </row>
    <row r="425" spans="1:15" x14ac:dyDescent="0.25">
      <c r="A425" t="s">
        <v>168</v>
      </c>
      <c r="B425" t="s">
        <v>162</v>
      </c>
      <c r="C425" t="s">
        <v>167</v>
      </c>
      <c r="D425" t="s">
        <v>43</v>
      </c>
      <c r="E425">
        <v>1239137</v>
      </c>
      <c r="F425" t="s">
        <v>44</v>
      </c>
      <c r="G425" t="s">
        <v>166</v>
      </c>
      <c r="H425" t="str">
        <f t="shared" si="12"/>
        <v>1025/2019</v>
      </c>
      <c r="I425" t="s">
        <v>2400</v>
      </c>
      <c r="K425" t="s">
        <v>262</v>
      </c>
      <c r="L425" t="s">
        <v>102</v>
      </c>
      <c r="M425" t="str">
        <f t="shared" si="13"/>
        <v>projectCollections</v>
      </c>
      <c r="N425" t="s">
        <v>97</v>
      </c>
      <c r="O425" t="s">
        <v>103</v>
      </c>
    </row>
    <row r="426" spans="1:15" x14ac:dyDescent="0.25">
      <c r="A426" t="s">
        <v>173</v>
      </c>
      <c r="B426" t="s">
        <v>169</v>
      </c>
      <c r="C426" t="s">
        <v>172</v>
      </c>
      <c r="D426" t="s">
        <v>43</v>
      </c>
      <c r="E426">
        <v>1239138</v>
      </c>
      <c r="F426" t="s">
        <v>44</v>
      </c>
      <c r="G426" t="s">
        <v>171</v>
      </c>
      <c r="H426" t="str">
        <f t="shared" si="12"/>
        <v>1025/2019</v>
      </c>
      <c r="I426" t="s">
        <v>2400</v>
      </c>
      <c r="L426" t="s">
        <v>102</v>
      </c>
      <c r="M426" t="str">
        <f t="shared" si="13"/>
        <v>projectCollections</v>
      </c>
      <c r="N426" t="s">
        <v>97</v>
      </c>
      <c r="O426" t="s">
        <v>103</v>
      </c>
    </row>
    <row r="427" spans="1:15" x14ac:dyDescent="0.25">
      <c r="A427" t="s">
        <v>111</v>
      </c>
      <c r="B427" t="s">
        <v>106</v>
      </c>
      <c r="C427" t="s">
        <v>110</v>
      </c>
      <c r="D427" t="s">
        <v>43</v>
      </c>
      <c r="E427">
        <v>1239203</v>
      </c>
      <c r="F427" t="s">
        <v>44</v>
      </c>
      <c r="G427" t="s">
        <v>109</v>
      </c>
      <c r="H427" t="str">
        <f t="shared" si="12"/>
        <v>0908/2023</v>
      </c>
      <c r="I427" t="s">
        <v>2506</v>
      </c>
      <c r="K427" t="s">
        <v>174</v>
      </c>
      <c r="L427" t="s">
        <v>102</v>
      </c>
      <c r="M427" t="str">
        <f t="shared" si="13"/>
        <v>projectCollections</v>
      </c>
      <c r="N427" t="s">
        <v>97</v>
      </c>
      <c r="O427" t="s">
        <v>103</v>
      </c>
    </row>
    <row r="428" spans="1:15" x14ac:dyDescent="0.25">
      <c r="A428" t="s">
        <v>224</v>
      </c>
      <c r="B428" t="s">
        <v>217</v>
      </c>
      <c r="C428" t="s">
        <v>223</v>
      </c>
      <c r="D428" t="s">
        <v>43</v>
      </c>
      <c r="E428">
        <v>1239153</v>
      </c>
      <c r="F428" t="s">
        <v>44</v>
      </c>
      <c r="G428" t="s">
        <v>222</v>
      </c>
      <c r="H428" t="str">
        <f t="shared" si="12"/>
        <v>0520/2020</v>
      </c>
      <c r="I428" t="s">
        <v>2417</v>
      </c>
      <c r="K428" t="s">
        <v>112</v>
      </c>
      <c r="L428" t="s">
        <v>102</v>
      </c>
      <c r="M428" t="str">
        <f t="shared" si="13"/>
        <v>projectCollections</v>
      </c>
      <c r="N428" t="s">
        <v>97</v>
      </c>
      <c r="O428" t="s">
        <v>103</v>
      </c>
    </row>
    <row r="429" spans="1:15" x14ac:dyDescent="0.25">
      <c r="A429" t="s">
        <v>266</v>
      </c>
      <c r="B429" t="s">
        <v>263</v>
      </c>
      <c r="C429" t="s">
        <v>265</v>
      </c>
      <c r="D429" t="s">
        <v>43</v>
      </c>
      <c r="E429">
        <v>1239140</v>
      </c>
      <c r="F429" t="s">
        <v>44</v>
      </c>
      <c r="G429" t="s">
        <v>264</v>
      </c>
      <c r="H429" t="str">
        <f t="shared" si="12"/>
        <v>1025/2019</v>
      </c>
      <c r="I429" t="s">
        <v>2400</v>
      </c>
      <c r="K429" t="s">
        <v>225</v>
      </c>
      <c r="L429" t="s">
        <v>102</v>
      </c>
      <c r="M429" t="str">
        <f t="shared" si="13"/>
        <v>projectCollections</v>
      </c>
      <c r="N429" t="s">
        <v>97</v>
      </c>
      <c r="O429" t="s">
        <v>103</v>
      </c>
    </row>
    <row r="430" spans="1:15" x14ac:dyDescent="0.25">
      <c r="A430" t="s">
        <v>179</v>
      </c>
      <c r="B430" t="s">
        <v>175</v>
      </c>
      <c r="C430" t="s">
        <v>178</v>
      </c>
      <c r="D430" t="s">
        <v>43</v>
      </c>
      <c r="E430">
        <v>1239141</v>
      </c>
      <c r="F430" t="s">
        <v>44</v>
      </c>
      <c r="G430" t="s">
        <v>177</v>
      </c>
      <c r="H430" t="str">
        <f t="shared" si="12"/>
        <v>1025/2019</v>
      </c>
      <c r="I430" t="s">
        <v>2400</v>
      </c>
      <c r="K430" t="s">
        <v>267</v>
      </c>
      <c r="L430" t="s">
        <v>102</v>
      </c>
      <c r="M430" t="str">
        <f t="shared" si="13"/>
        <v>projectCollections</v>
      </c>
      <c r="N430" t="s">
        <v>97</v>
      </c>
      <c r="O430" t="s">
        <v>103</v>
      </c>
    </row>
    <row r="431" spans="1:15" x14ac:dyDescent="0.25">
      <c r="A431" t="s">
        <v>184</v>
      </c>
      <c r="B431" t="s">
        <v>181</v>
      </c>
      <c r="C431" t="s">
        <v>183</v>
      </c>
      <c r="D431" t="s">
        <v>43</v>
      </c>
      <c r="E431">
        <v>1239142</v>
      </c>
      <c r="F431" t="s">
        <v>44</v>
      </c>
      <c r="G431" t="s">
        <v>182</v>
      </c>
      <c r="H431" t="str">
        <f t="shared" si="12"/>
        <v>1025/2019</v>
      </c>
      <c r="I431" t="s">
        <v>2400</v>
      </c>
      <c r="K431" t="s">
        <v>180</v>
      </c>
      <c r="L431" t="s">
        <v>102</v>
      </c>
      <c r="M431" t="str">
        <f t="shared" si="13"/>
        <v>projectCollections</v>
      </c>
      <c r="N431" t="s">
        <v>97</v>
      </c>
      <c r="O431" t="s">
        <v>103</v>
      </c>
    </row>
    <row r="432" spans="1:15" x14ac:dyDescent="0.25">
      <c r="A432" t="s">
        <v>233</v>
      </c>
      <c r="B432" t="s">
        <v>226</v>
      </c>
      <c r="C432" t="s">
        <v>232</v>
      </c>
      <c r="D432" t="s">
        <v>43</v>
      </c>
      <c r="E432">
        <v>1239154</v>
      </c>
      <c r="F432" t="s">
        <v>44</v>
      </c>
      <c r="G432" t="s">
        <v>231</v>
      </c>
      <c r="H432" t="str">
        <f t="shared" si="12"/>
        <v>0730/2020</v>
      </c>
      <c r="I432" t="s">
        <v>2507</v>
      </c>
      <c r="K432" t="s">
        <v>185</v>
      </c>
      <c r="L432" t="s">
        <v>102</v>
      </c>
      <c r="M432" t="str">
        <f t="shared" si="13"/>
        <v>projectCollections</v>
      </c>
      <c r="N432" t="s">
        <v>97</v>
      </c>
      <c r="O432" t="s">
        <v>103</v>
      </c>
    </row>
    <row r="433" spans="1:15" x14ac:dyDescent="0.25">
      <c r="A433" t="s">
        <v>192</v>
      </c>
      <c r="B433" t="s">
        <v>186</v>
      </c>
      <c r="C433" t="s">
        <v>191</v>
      </c>
      <c r="D433" t="s">
        <v>43</v>
      </c>
      <c r="E433">
        <v>1239144</v>
      </c>
      <c r="F433" t="s">
        <v>44</v>
      </c>
      <c r="G433" t="s">
        <v>190</v>
      </c>
      <c r="H433" t="str">
        <f t="shared" si="12"/>
        <v>1025/2019</v>
      </c>
      <c r="I433" t="s">
        <v>2400</v>
      </c>
      <c r="K433" t="s">
        <v>234</v>
      </c>
      <c r="L433" t="s">
        <v>102</v>
      </c>
      <c r="M433" t="str">
        <f t="shared" si="13"/>
        <v>projectCollections</v>
      </c>
      <c r="N433" t="s">
        <v>97</v>
      </c>
      <c r="O433" t="s">
        <v>103</v>
      </c>
    </row>
    <row r="434" spans="1:15" x14ac:dyDescent="0.25">
      <c r="A434" t="s">
        <v>251</v>
      </c>
      <c r="B434" t="s">
        <v>245</v>
      </c>
      <c r="C434" t="s">
        <v>250</v>
      </c>
      <c r="D434" t="s">
        <v>43</v>
      </c>
      <c r="E434">
        <v>1239185</v>
      </c>
      <c r="F434" t="s">
        <v>44</v>
      </c>
      <c r="G434" t="s">
        <v>249</v>
      </c>
      <c r="H434" t="str">
        <f t="shared" si="12"/>
        <v>0809/2023</v>
      </c>
      <c r="I434" t="s">
        <v>2508</v>
      </c>
      <c r="K434" t="s">
        <v>193</v>
      </c>
      <c r="L434" t="s">
        <v>102</v>
      </c>
      <c r="M434" t="str">
        <f t="shared" si="13"/>
        <v>projectCollections</v>
      </c>
      <c r="N434" t="s">
        <v>97</v>
      </c>
      <c r="O434" t="s">
        <v>103</v>
      </c>
    </row>
    <row r="435" spans="1:15" x14ac:dyDescent="0.25">
      <c r="A435" t="s">
        <v>271</v>
      </c>
      <c r="B435" t="s">
        <v>268</v>
      </c>
      <c r="C435" t="s">
        <v>270</v>
      </c>
      <c r="D435" t="s">
        <v>43</v>
      </c>
      <c r="E435">
        <v>1239145</v>
      </c>
      <c r="F435" t="s">
        <v>44</v>
      </c>
      <c r="G435" t="s">
        <v>269</v>
      </c>
      <c r="H435" t="str">
        <f t="shared" si="12"/>
        <v>1025/2019</v>
      </c>
      <c r="I435" t="s">
        <v>2400</v>
      </c>
      <c r="K435" t="s">
        <v>252</v>
      </c>
      <c r="L435" t="s">
        <v>102</v>
      </c>
      <c r="M435" t="str">
        <f t="shared" si="13"/>
        <v>projectCollections</v>
      </c>
      <c r="N435" t="s">
        <v>97</v>
      </c>
      <c r="O435" t="s">
        <v>103</v>
      </c>
    </row>
    <row r="436" spans="1:15" x14ac:dyDescent="0.25">
      <c r="A436" t="s">
        <v>201</v>
      </c>
      <c r="B436" t="s">
        <v>77</v>
      </c>
      <c r="C436" t="s">
        <v>200</v>
      </c>
      <c r="D436" t="s">
        <v>43</v>
      </c>
      <c r="E436">
        <v>1239150</v>
      </c>
      <c r="F436" t="s">
        <v>44</v>
      </c>
      <c r="G436" t="s">
        <v>199</v>
      </c>
      <c r="H436" t="str">
        <f t="shared" si="12"/>
        <v>1028/2019</v>
      </c>
      <c r="I436" t="s">
        <v>2509</v>
      </c>
      <c r="K436" t="s">
        <v>272</v>
      </c>
      <c r="L436" t="s">
        <v>102</v>
      </c>
      <c r="M436" t="str">
        <f t="shared" si="13"/>
        <v>projectCollections</v>
      </c>
      <c r="N436" t="s">
        <v>97</v>
      </c>
      <c r="O436" t="s">
        <v>103</v>
      </c>
    </row>
    <row r="437" spans="1:15" x14ac:dyDescent="0.25">
      <c r="A437" t="s">
        <v>276</v>
      </c>
      <c r="B437" t="s">
        <v>273</v>
      </c>
      <c r="C437" t="s">
        <v>275</v>
      </c>
      <c r="D437" t="s">
        <v>43</v>
      </c>
      <c r="E437">
        <v>1239147</v>
      </c>
      <c r="F437" t="s">
        <v>44</v>
      </c>
      <c r="G437" t="s">
        <v>274</v>
      </c>
      <c r="H437" t="str">
        <f t="shared" si="12"/>
        <v>1025/2019</v>
      </c>
      <c r="I437" t="s">
        <v>2400</v>
      </c>
      <c r="K437" t="s">
        <v>202</v>
      </c>
      <c r="L437" t="s">
        <v>102</v>
      </c>
      <c r="M437" t="str">
        <f t="shared" si="13"/>
        <v>projectCollections</v>
      </c>
      <c r="N437" t="s">
        <v>97</v>
      </c>
      <c r="O437" t="s">
        <v>103</v>
      </c>
    </row>
    <row r="438" spans="1:15" x14ac:dyDescent="0.25">
      <c r="A438" t="s">
        <v>205</v>
      </c>
      <c r="B438" t="s">
        <v>93</v>
      </c>
      <c r="C438" t="s">
        <v>204</v>
      </c>
      <c r="D438" t="s">
        <v>43</v>
      </c>
      <c r="E438">
        <v>1239148</v>
      </c>
      <c r="F438" t="s">
        <v>44</v>
      </c>
      <c r="G438" t="s">
        <v>203</v>
      </c>
      <c r="H438" t="str">
        <f t="shared" si="12"/>
        <v>1025/2019</v>
      </c>
      <c r="I438" t="s">
        <v>2400</v>
      </c>
      <c r="K438" t="s">
        <v>277</v>
      </c>
      <c r="L438" t="s">
        <v>102</v>
      </c>
      <c r="M438" t="str">
        <f t="shared" si="13"/>
        <v>projectCollections</v>
      </c>
      <c r="N438" t="s">
        <v>97</v>
      </c>
      <c r="O438" t="s">
        <v>103</v>
      </c>
    </row>
    <row r="439" spans="1:15" x14ac:dyDescent="0.25">
      <c r="A439" t="s">
        <v>209</v>
      </c>
      <c r="B439" t="s">
        <v>206</v>
      </c>
      <c r="C439" t="s">
        <v>208</v>
      </c>
      <c r="D439" t="s">
        <v>43</v>
      </c>
      <c r="E439">
        <v>1239149</v>
      </c>
      <c r="F439" t="s">
        <v>44</v>
      </c>
      <c r="G439" t="s">
        <v>207</v>
      </c>
      <c r="H439" t="str">
        <f t="shared" si="12"/>
        <v>1025/2019</v>
      </c>
      <c r="I439" t="s">
        <v>2400</v>
      </c>
      <c r="L439" t="s">
        <v>102</v>
      </c>
      <c r="M439" t="str">
        <f t="shared" si="13"/>
        <v>projectCollections</v>
      </c>
      <c r="N439" t="s">
        <v>97</v>
      </c>
      <c r="O439" t="s">
        <v>103</v>
      </c>
    </row>
    <row r="440" spans="1:15" x14ac:dyDescent="0.25">
      <c r="A440" t="s">
        <v>309</v>
      </c>
      <c r="B440" t="s">
        <v>304</v>
      </c>
      <c r="C440" t="s">
        <v>306</v>
      </c>
      <c r="D440" t="s">
        <v>43</v>
      </c>
      <c r="E440">
        <v>162491</v>
      </c>
      <c r="F440" t="s">
        <v>44</v>
      </c>
      <c r="G440" t="s">
        <v>305</v>
      </c>
      <c r="H440" t="str">
        <f t="shared" si="12"/>
        <v>0926/2019</v>
      </c>
      <c r="I440" t="s">
        <v>2410</v>
      </c>
      <c r="L440" t="s">
        <v>307</v>
      </c>
      <c r="M440" t="str">
        <f t="shared" si="13"/>
        <v>projectCollections</v>
      </c>
      <c r="N440" t="s">
        <v>303</v>
      </c>
      <c r="O440" t="s">
        <v>308</v>
      </c>
    </row>
    <row r="441" spans="1:15" x14ac:dyDescent="0.25">
      <c r="A441" t="s">
        <v>60</v>
      </c>
      <c r="B441" t="s">
        <v>51</v>
      </c>
      <c r="C441" t="s">
        <v>57</v>
      </c>
      <c r="D441" t="s">
        <v>43</v>
      </c>
      <c r="E441">
        <v>224869</v>
      </c>
      <c r="F441" t="s">
        <v>44</v>
      </c>
      <c r="G441" t="s">
        <v>56</v>
      </c>
      <c r="H441" t="str">
        <f t="shared" si="12"/>
        <v>1025/2019</v>
      </c>
      <c r="I441" t="s">
        <v>2400</v>
      </c>
      <c r="K441" t="s">
        <v>51</v>
      </c>
      <c r="L441" t="s">
        <v>58</v>
      </c>
      <c r="M441" t="str">
        <f t="shared" si="13"/>
        <v>projectCollections</v>
      </c>
      <c r="N441" t="s">
        <v>50</v>
      </c>
      <c r="O441" t="s">
        <v>59</v>
      </c>
    </row>
    <row r="442" spans="1:15" x14ac:dyDescent="0.25">
      <c r="A442" t="s">
        <v>92</v>
      </c>
      <c r="B442" t="s">
        <v>85</v>
      </c>
      <c r="C442" t="s">
        <v>91</v>
      </c>
      <c r="D442" t="s">
        <v>43</v>
      </c>
      <c r="E442">
        <v>224876</v>
      </c>
      <c r="F442" t="s">
        <v>44</v>
      </c>
      <c r="G442" t="s">
        <v>90</v>
      </c>
      <c r="H442" t="str">
        <f t="shared" si="12"/>
        <v>0223/2023</v>
      </c>
      <c r="I442" t="s">
        <v>2510</v>
      </c>
      <c r="K442" t="s">
        <v>61</v>
      </c>
      <c r="L442" t="s">
        <v>58</v>
      </c>
      <c r="M442" t="str">
        <f t="shared" si="13"/>
        <v>projectCollections</v>
      </c>
      <c r="N442" t="s">
        <v>50</v>
      </c>
      <c r="O442" t="s">
        <v>59</v>
      </c>
    </row>
    <row r="443" spans="1:15" x14ac:dyDescent="0.25">
      <c r="A443" t="s">
        <v>67</v>
      </c>
      <c r="B443" t="s">
        <v>62</v>
      </c>
      <c r="C443" t="s">
        <v>66</v>
      </c>
      <c r="D443" t="s">
        <v>43</v>
      </c>
      <c r="E443">
        <v>224871</v>
      </c>
      <c r="F443" t="s">
        <v>44</v>
      </c>
      <c r="G443" t="s">
        <v>65</v>
      </c>
      <c r="H443" t="str">
        <f t="shared" si="12"/>
        <v>1025/2019</v>
      </c>
      <c r="I443" t="s">
        <v>2400</v>
      </c>
      <c r="L443" t="s">
        <v>58</v>
      </c>
      <c r="M443" t="str">
        <f t="shared" si="13"/>
        <v>projectCollections</v>
      </c>
      <c r="N443" t="s">
        <v>50</v>
      </c>
      <c r="O443" t="s">
        <v>59</v>
      </c>
    </row>
    <row r="444" spans="1:15" x14ac:dyDescent="0.25">
      <c r="A444" t="s">
        <v>75</v>
      </c>
      <c r="B444" t="s">
        <v>69</v>
      </c>
      <c r="C444" t="s">
        <v>74</v>
      </c>
      <c r="D444" t="s">
        <v>43</v>
      </c>
      <c r="E444">
        <v>224872</v>
      </c>
      <c r="F444" t="s">
        <v>44</v>
      </c>
      <c r="G444" t="s">
        <v>73</v>
      </c>
      <c r="H444" t="str">
        <f t="shared" si="12"/>
        <v>1025/2019</v>
      </c>
      <c r="I444" t="s">
        <v>2400</v>
      </c>
      <c r="K444" t="s">
        <v>68</v>
      </c>
      <c r="L444" t="s">
        <v>58</v>
      </c>
      <c r="M444" t="str">
        <f t="shared" si="13"/>
        <v>projectCollections</v>
      </c>
      <c r="N444" t="s">
        <v>50</v>
      </c>
      <c r="O444" t="s">
        <v>59</v>
      </c>
    </row>
    <row r="445" spans="1:15" x14ac:dyDescent="0.25">
      <c r="A445" t="s">
        <v>84</v>
      </c>
      <c r="B445" t="s">
        <v>77</v>
      </c>
      <c r="C445" t="s">
        <v>83</v>
      </c>
      <c r="D445" t="s">
        <v>43</v>
      </c>
      <c r="E445">
        <v>224875</v>
      </c>
      <c r="F445" t="s">
        <v>44</v>
      </c>
      <c r="G445" t="s">
        <v>82</v>
      </c>
      <c r="H445" t="str">
        <f t="shared" si="12"/>
        <v>0205/2021</v>
      </c>
      <c r="I445" t="s">
        <v>2511</v>
      </c>
      <c r="K445" t="s">
        <v>76</v>
      </c>
      <c r="L445" t="s">
        <v>58</v>
      </c>
      <c r="M445" t="str">
        <f t="shared" si="13"/>
        <v>projectCollections</v>
      </c>
      <c r="N445" t="s">
        <v>50</v>
      </c>
      <c r="O445" t="s">
        <v>59</v>
      </c>
    </row>
    <row r="446" spans="1:15" x14ac:dyDescent="0.25">
      <c r="A446" t="s">
        <v>96</v>
      </c>
      <c r="B446" t="s">
        <v>93</v>
      </c>
      <c r="C446" t="s">
        <v>95</v>
      </c>
      <c r="D446" t="s">
        <v>43</v>
      </c>
      <c r="E446">
        <v>224874</v>
      </c>
      <c r="F446" t="s">
        <v>44</v>
      </c>
      <c r="G446" t="s">
        <v>94</v>
      </c>
      <c r="H446" t="str">
        <f t="shared" si="12"/>
        <v>1025/2019</v>
      </c>
      <c r="I446" t="s">
        <v>2400</v>
      </c>
      <c r="L446" t="s">
        <v>58</v>
      </c>
      <c r="M446" t="str">
        <f t="shared" si="13"/>
        <v>projectCollections</v>
      </c>
      <c r="N446" t="s">
        <v>50</v>
      </c>
      <c r="O446" t="s">
        <v>59</v>
      </c>
    </row>
  </sheetData>
  <phoneticPr fontId="2" type="noConversion"/>
  <hyperlinks>
    <hyperlink ref="L2" r:id="rId1" xr:uid="{A6C193B5-CC9F-41CA-964E-F6B04D74A4C4}"/>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45DD37AAB032446BC982004F5F419C7" ma:contentTypeVersion="3" ma:contentTypeDescription="Create a new document." ma:contentTypeScope="" ma:versionID="5ae5a061abed660e4833bb92be4c4ef5">
  <xsd:schema xmlns:xsd="http://www.w3.org/2001/XMLSchema" xmlns:xs="http://www.w3.org/2001/XMLSchema" xmlns:p="http://schemas.microsoft.com/office/2006/metadata/properties" xmlns:ns2="dc2f4456-472d-42c6-8b2d-0ff44bdc7c2b" targetNamespace="http://schemas.microsoft.com/office/2006/metadata/properties" ma:root="true" ma:fieldsID="fa63469e5c6cbc863ad6232f542c50c7" ns2:_="">
    <xsd:import namespace="dc2f4456-472d-42c6-8b2d-0ff44bdc7c2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2f4456-472d-42c6-8b2d-0ff44bdc7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3D238D-32B2-4146-B848-1A08CDAC6FED}">
  <ds:schemaRefs>
    <ds:schemaRef ds:uri="http://schemas.microsoft.com/sharepoint/v3/contenttype/forms"/>
  </ds:schemaRefs>
</ds:datastoreItem>
</file>

<file path=customXml/itemProps2.xml><?xml version="1.0" encoding="utf-8"?>
<ds:datastoreItem xmlns:ds="http://schemas.openxmlformats.org/officeDocument/2006/customXml" ds:itemID="{CE02C0AA-E0D7-4ED6-A42A-44C16FEE6ACE}">
  <ds:schemaRefs>
    <ds:schemaRef ds:uri="http://schemas.microsoft.com/DataMashup"/>
  </ds:schemaRefs>
</ds:datastoreItem>
</file>

<file path=customXml/itemProps3.xml><?xml version="1.0" encoding="utf-8"?>
<ds:datastoreItem xmlns:ds="http://schemas.openxmlformats.org/officeDocument/2006/customXml" ds:itemID="{92DD7FC5-7C22-4E28-86FE-DC4BEBA93728}">
  <ds:schemaRefs>
    <ds:schemaRef ds:uri="http://schemas.microsoft.com/office/2006/metadata/properties"/>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dc2f4456-472d-42c6-8b2d-0ff44bdc7c2b"/>
    <ds:schemaRef ds:uri="http://www.w3.org/XML/1998/namespace"/>
  </ds:schemaRefs>
</ds:datastoreItem>
</file>

<file path=customXml/itemProps4.xml><?xml version="1.0" encoding="utf-8"?>
<ds:datastoreItem xmlns:ds="http://schemas.openxmlformats.org/officeDocument/2006/customXml" ds:itemID="{EEBB90A3-68CD-4476-B05A-5AEA955CC3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2f4456-472d-42c6-8b2d-0ff44bdc7c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3faca80-f981-4662-85da-6c374785348d}" enabled="0" method="" siteId="{73faca80-f981-4662-85da-6c374785348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GAMS-Migrate</vt:lpstr>
      <vt:lpstr>dalptfs01-report_review</vt:lpstr>
      <vt:lpstr>Email</vt:lpstr>
      <vt:lpstr>Sheet1</vt:lpstr>
      <vt:lpstr>Sheet2</vt:lpstr>
      <vt:lpstr>dalptfs01-report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Whitney</dc:creator>
  <cp:keywords/>
  <dc:description/>
  <cp:lastModifiedBy>Nguyen, Tuy</cp:lastModifiedBy>
  <cp:revision/>
  <dcterms:created xsi:type="dcterms:W3CDTF">2025-05-02T17:51:28Z</dcterms:created>
  <dcterms:modified xsi:type="dcterms:W3CDTF">2026-05-06T20:20:24Z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0x010100B45DD37AAB032446BC982004F5F419C7</vt:lpwstr>
  </property>
</Properties>
</file>